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gression Scenarios" sheetId="2" state="visible" r:id="rId4"/>
    <sheet name="Content Audit" sheetId="3" state="visible" r:id="rId5"/>
    <sheet name="Link Check" sheetId="4" state="visible" r:id="rId6"/>
    <sheet name="Gap List" sheetId="5" state="visible" r:id="rId7"/>
    <sheet name="Screenshots" sheetId="6" state="visible" r:id="rId8"/>
  </sheets>
  <definedNames>
    <definedName function="false" hidden="true" localSheetId="2" name="_xlnm._FilterDatabase" vbProcedure="false">'Content Audit'!$A$1:$I$61</definedName>
    <definedName function="false" hidden="true" localSheetId="1" name="_xlnm._FilterDatabase" vbProcedure="false">'Regression Scenarios'!$A$1:$M$62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<sst xmlns="http://schemas.openxmlformats.org/spreadsheetml/2006/main" count="1596" uniqueCount="882">
  <si>
    <t xml:space="preserve">S3W2 - Regression suite and production content audit</t>
  </si>
  <si>
    <t xml:space="preserve">Grand Prix ticket explorer - Team 27, Capstone 2026. Sources: Sprint 2 user stories and acceptance criteria, S3W1 accessibility and error-handling criteria, Sprint 2 defects G-01 to G-16, and the Production Content Standard (CS-01 to CS-16). Run on the deployed site on 18 Oct 2026 in the Claude desktop app's built-in browser, signed in, at about 800px and 375px widths. Re-checked on the new front end the same evening.</t>
  </si>
  <si>
    <t xml:space="preserve">Regression by area</t>
  </si>
  <si>
    <t xml:space="preserve">Pass</t>
  </si>
  <si>
    <t xml:space="preserve">Fail</t>
  </si>
  <si>
    <t xml:space="preserve">Blocked</t>
  </si>
  <si>
    <t xml:space="preserve">Not built</t>
  </si>
  <si>
    <t xml:space="preserve">Not tested</t>
  </si>
  <si>
    <t xml:space="preserve">Total</t>
  </si>
  <si>
    <t xml:space="preserve">Entry and navigation</t>
  </si>
  <si>
    <t xml:space="preserve">Browse</t>
  </si>
  <si>
    <t xml:space="preserve">Detail</t>
  </si>
  <si>
    <t xml:space="preserve">Selection limits</t>
  </si>
  <si>
    <t xml:space="preserve">Compare</t>
  </si>
  <si>
    <t xml:space="preserve">Fallback states</t>
  </si>
  <si>
    <t xml:space="preserve">Firestore read failures</t>
  </si>
  <si>
    <t xml:space="preserve">Accessibility smoke</t>
  </si>
  <si>
    <t xml:space="preserve">Pass rate (of scenarios run)</t>
  </si>
  <si>
    <t xml:space="preserve">Content audit and links</t>
  </si>
  <si>
    <t xml:space="preserve">N/A</t>
  </si>
  <si>
    <t xml:space="preserve">Content audit checks</t>
  </si>
  <si>
    <t xml:space="preserve">Links (Yes = resolves)</t>
  </si>
  <si>
    <t xml:space="preserve">Gaps by severity</t>
  </si>
  <si>
    <t xml:space="preserve">Critical</t>
  </si>
  <si>
    <t xml:space="preserve">High</t>
  </si>
  <si>
    <t xml:space="preserve">Medium</t>
  </si>
  <si>
    <t xml:space="preserve">Low</t>
  </si>
  <si>
    <t xml:space="preserve">Open</t>
  </si>
  <si>
    <t xml:space="preserve">Gap List</t>
  </si>
  <si>
    <t xml:space="preserve">How to use</t>
  </si>
  <si>
    <t xml:space="preserve">Yellow cells are for you to fill in. Run everything on the deployed site, at desktop (1440px) and mobile (375px) widths.</t>
  </si>
  <si>
    <t xml:space="preserve">1. Regression Scenarios (53): run each one, write the Actual result and pick a Result. P1 scenarios first; they are the smoke test for every release.</t>
  </si>
  <si>
    <t xml:space="preserve">2. Content Audit (55 checks): check each screen against the Production Content Standard rule shown. N/A if the screen doesn't have that content.</t>
  </si>
  <si>
    <t xml:space="preserve">3. Link Check: click every link and navigating button, record where it goes and whether it resolves. Replace [bracketed] rows with the real links.</t>
  </si>
  <si>
    <t xml:space="preserve">4. Gap List: log every Fail and every link that doesn't resolve, with a severity, then put the Gap ID back on the row that found it.</t>
  </si>
  <si>
    <t xml:space="preserve">5. Hand the Gap List to both developers with severities (last checklist item).</t>
  </si>
  <si>
    <t xml:space="preserve">Selection limit and Compare scenarios assume Compare takes 2-3 tickets (S3W1 Q-02, still to confirm). Adjust Then if the team decides otherwise.</t>
  </si>
  <si>
    <t xml:space="preserve">Severity: Critical = blocks the journey or shows wrong info; High = breaks a rule users notice; Medium = inconsistent but usable; Low = cosmetic.</t>
  </si>
  <si>
    <t xml:space="preserve">ID</t>
  </si>
  <si>
    <t xml:space="preserve">Area</t>
  </si>
  <si>
    <t xml:space="preserve">Priority</t>
  </si>
  <si>
    <t xml:space="preserve">Source (AC / S3W1 / defect / CS)</t>
  </si>
  <si>
    <t xml:space="preserve">Scenario</t>
  </si>
  <si>
    <t xml:space="preserve">Given</t>
  </si>
  <si>
    <t xml:space="preserve">When</t>
  </si>
  <si>
    <t xml:space="preserve">Then (expected)</t>
  </si>
  <si>
    <t xml:space="preserve">Actual result</t>
  </si>
  <si>
    <t xml:space="preserve">Result</t>
  </si>
  <si>
    <t xml:space="preserve">Gap ID</t>
  </si>
  <si>
    <t xml:space="preserve">Date tested</t>
  </si>
  <si>
    <t xml:space="preserve">Notes</t>
  </si>
  <si>
    <t xml:space="preserve">ENTRY AND NAVIGATION</t>
  </si>
  <si>
    <t xml:space="preserve">RS-01</t>
  </si>
  <si>
    <t xml:space="preserve">P1</t>
  </si>
  <si>
    <t xml:space="preserve">S1 AC</t>
  </si>
  <si>
    <t xml:space="preserve">Reach the ticket explorer</t>
  </si>
  <si>
    <t xml:space="preserve">User is signed in on the Dashboard</t>
  </si>
  <si>
    <t xml:space="preserve">User selects "Browse tickets"</t>
  </si>
  <si>
    <t xml:space="preserve">Browse page opens and lists ticket types; URL is /tickets</t>
  </si>
  <si>
    <t xml:space="preserve">Dashboard "Browse tickets" opens /tickets with all 6 ticket types</t>
  </si>
  <si>
    <t xml:space="preserve">18/10/2026</t>
  </si>
  <si>
    <t xml:space="preserve">RS-02</t>
  </si>
  <si>
    <t xml:space="preserve">Direct link to Browse</t>
  </si>
  <si>
    <t xml:space="preserve">User is signed in</t>
  </si>
  <si>
    <t xml:space="preserve">User opens /tickets directly or refreshes it</t>
  </si>
  <si>
    <t xml:space="preserve">Browse loads the same as from the Dashboard</t>
  </si>
  <si>
    <t xml:space="preserve">Opening /tickets directly loads Browse; signed-out users are sent to sign-in and back</t>
  </si>
  <si>
    <t xml:space="preserve">RS-03</t>
  </si>
  <si>
    <t xml:space="preserve">P2</t>
  </si>
  <si>
    <t xml:space="preserve">CS-14</t>
  </si>
  <si>
    <t xml:space="preserve">Page titles</t>
  </si>
  <si>
    <t xml:space="preserve">User moves between Dashboard, Browse and Compare</t>
  </si>
  <si>
    <t xml:space="preserve">User checks the browser tab title</t>
  </si>
  <si>
    <t xml:space="preserve">Each page has its own title, e.g. "Tickets - [site name]"</t>
  </si>
  <si>
    <t xml:space="preserve">App pages titled "Dashboard | Grand Prix Ticketing", "Browse tickets | ...", "Compare tickets | ..."</t>
  </si>
  <si>
    <t xml:space="preserve">Public home page title is just "Home" (S3-02)</t>
  </si>
  <si>
    <t xml:space="preserve">RS-04</t>
  </si>
  <si>
    <t xml:space="preserve">S2 Q-10</t>
  </si>
  <si>
    <t xml:space="preserve">Browser back from Browse</t>
  </si>
  <si>
    <t xml:space="preserve">User came from the Dashboard to Browse</t>
  </si>
  <si>
    <t xml:space="preserve">User presses the browser back button</t>
  </si>
  <si>
    <t xml:space="preserve">User returns to the Dashboard with no error</t>
  </si>
  <si>
    <t xml:space="preserve">Browser back from Browse returns to the Dashboard</t>
  </si>
  <si>
    <t xml:space="preserve">BROWSE</t>
  </si>
  <si>
    <t xml:space="preserve">RS-05</t>
  </si>
  <si>
    <t xml:space="preserve">All ticket types on one screen</t>
  </si>
  <si>
    <t xml:space="preserve">Ticket data loads</t>
  </si>
  <si>
    <t xml:space="preserve">User opens Browse</t>
  </si>
  <si>
    <t xml:space="preserve">Every ticket type shows as a card; none are missing or duplicated</t>
  </si>
  <si>
    <t xml:space="preserve">6 ticket types shown as cards, no duplicates</t>
  </si>
  <si>
    <t xml:space="preserve">RS-06</t>
  </si>
  <si>
    <t xml:space="preserve">S1 AC / CS-01 / CS-02</t>
  </si>
  <si>
    <t xml:space="preserve">Card content</t>
  </si>
  <si>
    <t xml:space="preserve">User reads any card</t>
  </si>
  <si>
    <t xml:space="preserve">Card shows tier name, price, zone, view quality and days covered, formatted per CS-01 and CS-02</t>
  </si>
  <si>
    <t xml:space="preserve">Name, price, zone and days shown; no tier badge or view quality indicator; days shown as day names</t>
  </si>
  <si>
    <t xml:space="preserve">S3-04</t>
  </si>
  <si>
    <t xml:space="preserve">Also S3-03 (dates). Sprint 2 G-01 and G-09 still open</t>
  </si>
  <si>
    <t xml:space="preserve">RS-07</t>
  </si>
  <si>
    <t xml:space="preserve">S1 AC / G-02</t>
  </si>
  <si>
    <t xml:space="preserve">Ticket order</t>
  </si>
  <si>
    <t xml:space="preserve">Several ticket types with different prices</t>
  </si>
  <si>
    <t xml:space="preserve">Cards follow the agreed recommended order, with price ascending as tie-breaker</t>
  </si>
  <si>
    <t xml:space="preserve">Sorted by price ascending: $235, $545, $620, $890, $1,150, $4,950</t>
  </si>
  <si>
    <t xml:space="preserve">Sprint 2 G-02 fixed</t>
  </si>
  <si>
    <t xml:space="preserve">RS-08</t>
  </si>
  <si>
    <t xml:space="preserve">S1 AC / CS-07</t>
  </si>
  <si>
    <t xml:space="preserve">Sold-out card</t>
  </si>
  <si>
    <t xml:space="preserve">One ticket type has 0 left</t>
  </si>
  <si>
    <t xml:space="preserve">User views that card</t>
  </si>
  <si>
    <t xml:space="preserve">"Sold out" label shows, button is disabled, card is muted but readable</t>
  </si>
  <si>
    <t xml:space="preserve">No stock data; sold-out state can't occur</t>
  </si>
  <si>
    <t xml:space="preserve">S3-07</t>
  </si>
  <si>
    <t xml:space="preserve">G-04 still open</t>
  </si>
  <si>
    <t xml:space="preserve">RS-09</t>
  </si>
  <si>
    <t xml:space="preserve">Low-stock label</t>
  </si>
  <si>
    <t xml:space="preserve">One ticket type has fewer than 20 left</t>
  </si>
  <si>
    <t xml:space="preserve">"Only X left" shows with the right number; button stays enabled</t>
  </si>
  <si>
    <t xml:space="preserve">No stock data; low-stock label can't occur</t>
  </si>
  <si>
    <t xml:space="preserve">RS-10</t>
  </si>
  <si>
    <t xml:space="preserve">S1 AC / G-05</t>
  </si>
  <si>
    <t xml:space="preserve">Price range</t>
  </si>
  <si>
    <t xml:space="preserve">One ticket type has more than one price</t>
  </si>
  <si>
    <t xml:space="preserve">Card shows a range, e.g. "$450-$550"</t>
  </si>
  <si>
    <t xml:space="preserve">One price per ticket type; ranges not supported</t>
  </si>
  <si>
    <t xml:space="preserve">S3-08</t>
  </si>
  <si>
    <t xml:space="preserve">G-05 still open</t>
  </si>
  <si>
    <t xml:space="preserve">RS-11</t>
  </si>
  <si>
    <t xml:space="preserve">S1 Responsive</t>
  </si>
  <si>
    <t xml:space="preserve">Mobile layout</t>
  </si>
  <si>
    <t xml:space="preserve">Screen is 375px wide</t>
  </si>
  <si>
    <t xml:space="preserve">Cards stack in one column; no text cut off; no sideways scrolling</t>
  </si>
  <si>
    <t xml:space="preserve">At 375px cards stack in one column; no sideways scroll; no text under 12px; all buttons at least 44px</t>
  </si>
  <si>
    <t xml:space="preserve">Sprint 2 G-08 (button size) fixed</t>
  </si>
  <si>
    <t xml:space="preserve">RS-12</t>
  </si>
  <si>
    <t xml:space="preserve">P3</t>
  </si>
  <si>
    <t xml:space="preserve">S1 Interactions / G-03</t>
  </si>
  <si>
    <t xml:space="preserve">Hover and pressed states</t>
  </si>
  <si>
    <t xml:space="preserve">Desktop browser</t>
  </si>
  <si>
    <t xml:space="preserve">User hovers a card, then clicks and holds a button</t>
  </si>
  <si>
    <t xml:space="preserve">Card shows a hover state; button shows a pressed state</t>
  </si>
  <si>
    <t xml:space="preserve">Pressing and holding a button doesn't change its look (no pressed/active state)</t>
  </si>
  <si>
    <t xml:space="preserve">Tested by Matthew in Chrome, new front end. Sprint 2 G-03 (active state) still open. Accepted as a pass by the BA: difference is marginal</t>
  </si>
  <si>
    <t xml:space="preserve">DETAIL</t>
  </si>
  <si>
    <t xml:space="preserve">RS-13</t>
  </si>
  <si>
    <t xml:space="preserve">S2 AC</t>
  </si>
  <si>
    <t xml:space="preserve">Open the right ticket</t>
  </si>
  <si>
    <t xml:space="preserve">Browse is loaded</t>
  </si>
  <si>
    <t xml:space="preserve">User selects "View details" on the Grandstand card</t>
  </si>
  <si>
    <t xml:space="preserve">Detail opens for Grandstand with the same price, days and zone as its card</t>
  </si>
  <si>
    <t xml:space="preserve">"View details" on Turn 11 opens a modal with matching name, price, days and zone; URL updates to ?ticket=...</t>
  </si>
  <si>
    <t xml:space="preserve">RS-14</t>
  </si>
  <si>
    <t xml:space="preserve">S2 AC / G-09 / CS-03</t>
  </si>
  <si>
    <t xml:space="preserve">Real dates</t>
  </si>
  <si>
    <t xml:space="preserve">Detail is open for a multi-day ticket</t>
  </si>
  <si>
    <t xml:space="preserve">User reads the dates</t>
  </si>
  <si>
    <t xml:space="preserve">Actual dates show, e.g. "Fri 13 - Sun 15 Mar 2026", not just day names</t>
  </si>
  <si>
    <t xml:space="preserve">Shows "Sat, Sun" / "Thu, Fri, Sat, Sun", not real dates</t>
  </si>
  <si>
    <t xml:space="preserve">S3-03</t>
  </si>
  <si>
    <t xml:space="preserve">G-09 still open</t>
  </si>
  <si>
    <t xml:space="preserve">RS-15</t>
  </si>
  <si>
    <t xml:space="preserve">S2 AC / G-10 / CS-04</t>
  </si>
  <si>
    <t xml:space="preserve">Zone, seat description and map</t>
  </si>
  <si>
    <t xml:space="preserve">Detail is open</t>
  </si>
  <si>
    <t xml:space="preserve">User reads the zone section</t>
  </si>
  <si>
    <t xml:space="preserve">Zone name, a seat description and the zone map (with alt text) all show</t>
  </si>
  <si>
    <t xml:space="preserve">New front end: zone, map and description shown; every ticket still says "Seat allocation not specified for this ticket."</t>
  </si>
  <si>
    <t xml:space="preserve">S3-05</t>
  </si>
  <si>
    <t xml:space="preserve">RS-16</t>
  </si>
  <si>
    <t xml:space="preserve">S2 AC / CS-06</t>
  </si>
  <si>
    <t xml:space="preserve">Includes and excludes</t>
  </si>
  <si>
    <t xml:space="preserve">User reads both lists</t>
  </si>
  <si>
    <t xml:space="preserve">Both lists show, written per CS-06; empty Excludes reads "Not specified for this ticket"</t>
  </si>
  <si>
    <t xml:space="preserve">"What's included" and "What's not included" lists shown, parallel noun-first items</t>
  </si>
  <si>
    <t xml:space="preserve">RS-17</t>
  </si>
  <si>
    <t xml:space="preserve">S2 Edge / G-13 / CS-16</t>
  </si>
  <si>
    <t xml:space="preserve">Restriction callout</t>
  </si>
  <si>
    <t xml:space="preserve">Ticket has a restriction such as 18+</t>
  </si>
  <si>
    <t xml:space="preserve">User opens Detail</t>
  </si>
  <si>
    <t xml:space="preserve">Restriction shows in a visible callout</t>
  </si>
  <si>
    <t xml:space="preserve">No ticket in the catalogue has a restriction to check</t>
  </si>
  <si>
    <t xml:space="preserve">Needs a test ticket with a restriction (G-13)</t>
  </si>
  <si>
    <t xml:space="preserve">RS-18</t>
  </si>
  <si>
    <t xml:space="preserve">S2 Interactions / G-11</t>
  </si>
  <si>
    <t xml:space="preserve">Add to cart</t>
  </si>
  <si>
    <t xml:space="preserve">Cart is empty</t>
  </si>
  <si>
    <t xml:space="preserve">User selects "Add to cart"</t>
  </si>
  <si>
    <t xml:space="preserve">Cart count goes from 0 to 1 and a confirmation appears</t>
  </si>
  <si>
    <t xml:space="preserve">No Add to cart; button is "Add to selection"; /cart and /checkout return 404</t>
  </si>
  <si>
    <t xml:space="preserve">S3-06</t>
  </si>
  <si>
    <t xml:space="preserve">G-11 still open</t>
  </si>
  <si>
    <t xml:space="preserve">RS-19</t>
  </si>
  <si>
    <t xml:space="preserve">S2 Q-07</t>
  </si>
  <si>
    <t xml:space="preserve">Add the same ticket twice</t>
  </si>
  <si>
    <t xml:space="preserve">Ticket is already in the cart</t>
  </si>
  <si>
    <t xml:space="preserve">User selects "Add to cart" again</t>
  </si>
  <si>
    <t xml:space="preserve">Quantity goes up by 1; no duplicate line</t>
  </si>
  <si>
    <t xml:space="preserve">No cart, so can't add twice</t>
  </si>
  <si>
    <t xml:space="preserve">RS-20</t>
  </si>
  <si>
    <t xml:space="preserve">S2 Interactions</t>
  </si>
  <si>
    <t xml:space="preserve">Close keeps position</t>
  </si>
  <si>
    <t xml:space="preserve">User scrolled down Browse, then opened Detail</t>
  </si>
  <si>
    <t xml:space="preserve">User closes Detail with X or Esc</t>
  </si>
  <si>
    <t xml:space="preserve">Browse shows at the same scroll position; focus returns to the "View details" button</t>
  </si>
  <si>
    <t xml:space="preserve">Esc closes the modal and focus returns to the "View details" button; focus stays inside the modal while open</t>
  </si>
  <si>
    <t xml:space="preserve">SELECTION LIMITS</t>
  </si>
  <si>
    <t xml:space="preserve">RS-21</t>
  </si>
  <si>
    <t xml:space="preserve">Compare (Q-02)</t>
  </si>
  <si>
    <t xml:space="preserve">Select tickets to compare</t>
  </si>
  <si>
    <t xml:space="preserve">User selects 2 tickets for comparison</t>
  </si>
  <si>
    <t xml:space="preserve">Both show as selected and a "Compare tickets" action becomes available</t>
  </si>
  <si>
    <t xml:space="preserve">New front end: ticking "Compare" on 2 cards shows "2 ticket types selected" and a Compare link</t>
  </si>
  <si>
    <t xml:space="preserve">Selection is now a Compare checkbox on each card</t>
  </si>
  <si>
    <t xml:space="preserve">RS-22</t>
  </si>
  <si>
    <t xml:space="preserve">Maximum selection</t>
  </si>
  <si>
    <t xml:space="preserve">3 tickets are already selected</t>
  </si>
  <si>
    <t xml:space="preserve">User tries to select a 4th</t>
  </si>
  <si>
    <t xml:space="preserve">The 4th isn't added and a message says "You can compare up to 3 tickets"</t>
  </si>
  <si>
    <t xml:space="preserve">At 3, the other Compare checkboxes are disabled; text says "Remove one to select another."</t>
  </si>
  <si>
    <t xml:space="preserve">RS-23</t>
  </si>
  <si>
    <t xml:space="preserve">Compare (Q-02) / EMP-05</t>
  </si>
  <si>
    <t xml:space="preserve">Minimum selection</t>
  </si>
  <si>
    <t xml:space="preserve">Only 1 ticket is selected</t>
  </si>
  <si>
    <t xml:space="preserve">User tries to compare</t>
  </si>
  <si>
    <t xml:space="preserve">Compare isn't available, or shows "Add at least one more ticket to compare"</t>
  </si>
  <si>
    <t xml:space="preserve">With 1 selected there is no Compare link; Compare page says "You need to select at least two ticket types before comparing."</t>
  </si>
  <si>
    <t xml:space="preserve">RS-24</t>
  </si>
  <si>
    <t xml:space="preserve">Deselect a ticket</t>
  </si>
  <si>
    <t xml:space="preserve">2 tickets are selected</t>
  </si>
  <si>
    <t xml:space="preserve">User deselects one</t>
  </si>
  <si>
    <t xml:space="preserve">Selection count drops to 1 and the compare action updates</t>
  </si>
  <si>
    <t xml:space="preserve">Remove drops the count and updates the compare link</t>
  </si>
  <si>
    <t xml:space="preserve">RS-25</t>
  </si>
  <si>
    <t xml:space="preserve">Same ticket twice</t>
  </si>
  <si>
    <t xml:space="preserve">A ticket is already selected</t>
  </si>
  <si>
    <t xml:space="preserve">User selects it again</t>
  </si>
  <si>
    <t xml:space="preserve">It isn't added twice; selecting again removes it or does nothing</t>
  </si>
  <si>
    <t xml:space="preserve">Selecting the same ticket again removes it (toggle)</t>
  </si>
  <si>
    <t xml:space="preserve">RS-26</t>
  </si>
  <si>
    <t xml:space="preserve">Sold-out tickets</t>
  </si>
  <si>
    <t xml:space="preserve">One ticket type is sold out</t>
  </si>
  <si>
    <t xml:space="preserve">User tries to select it for comparison</t>
  </si>
  <si>
    <t xml:space="preserve">Behaviour matches the agreed rule (can compare but not buy, or can't select) and is clearly labelled</t>
  </si>
  <si>
    <t xml:space="preserve">No stock data, so no sold-out tickets to try</t>
  </si>
  <si>
    <t xml:space="preserve">RS-27</t>
  </si>
  <si>
    <t xml:space="preserve">Selection survives navigation</t>
  </si>
  <si>
    <t xml:space="preserve">User opens Detail for another ticket, then closes it</t>
  </si>
  <si>
    <t xml:space="preserve">The 2 tickets are still selected</t>
  </si>
  <si>
    <t xml:space="preserve">Selection kept when going Browse -&gt; Compare, but lost on page refresh</t>
  </si>
  <si>
    <t xml:space="preserve">S3-13</t>
  </si>
  <si>
    <t xml:space="preserve">Refresh loss logged as Low</t>
  </si>
  <si>
    <t xml:space="preserve">RS-28</t>
  </si>
  <si>
    <t xml:space="preserve">Clear all</t>
  </si>
  <si>
    <t xml:space="preserve">3 tickets are selected</t>
  </si>
  <si>
    <t xml:space="preserve">User selects "Clear all"</t>
  </si>
  <si>
    <t xml:space="preserve">All selections are removed</t>
  </si>
  <si>
    <t xml:space="preserve">"Clear selection" resets to 0 selected</t>
  </si>
  <si>
    <t xml:space="preserve">COMPARE</t>
  </si>
  <si>
    <t xml:space="preserve">RS-29</t>
  </si>
  <si>
    <t xml:space="preserve">Side-by-side comparison</t>
  </si>
  <si>
    <t xml:space="preserve">2 or 3 tickets are selected</t>
  </si>
  <si>
    <t xml:space="preserve">User opens Compare</t>
  </si>
  <si>
    <t xml:space="preserve">Selected tickets show side by side with the same rows for each</t>
  </si>
  <si>
    <t xml:space="preserve">3 tickets shown side by side in a table: map, price, days, zone, view, includes, excludes; differing rows highlighted</t>
  </si>
  <si>
    <t xml:space="preserve">RS-30</t>
  </si>
  <si>
    <t xml:space="preserve">Compare / CS-01 to CS-03</t>
  </si>
  <si>
    <t xml:space="preserve">Values match other screens</t>
  </si>
  <si>
    <t xml:space="preserve">Compare is open</t>
  </si>
  <si>
    <t xml:space="preserve">User checks price, dates and zone against Browse and Detail</t>
  </si>
  <si>
    <t xml:space="preserve">All values match exactly</t>
  </si>
  <si>
    <t xml:space="preserve">Prices, days and zones match Browse and Detail exactly</t>
  </si>
  <si>
    <t xml:space="preserve">RS-31</t>
  </si>
  <si>
    <t xml:space="preserve">Remove from Compare</t>
  </si>
  <si>
    <t xml:space="preserve">3 tickets are compared</t>
  </si>
  <si>
    <t xml:space="preserve">User removes one</t>
  </si>
  <si>
    <t xml:space="preserve">It disappears and the other 2 stay; focus moves sensibly</t>
  </si>
  <si>
    <t xml:space="preserve">New front end: Remove works, but focus still drops to the page body</t>
  </si>
  <si>
    <t xml:space="preserve">S3-14</t>
  </si>
  <si>
    <t xml:space="preserve">RS-32</t>
  </si>
  <si>
    <t xml:space="preserve">EMP-04</t>
  </si>
  <si>
    <t xml:space="preserve">Compare with nothing selected</t>
  </si>
  <si>
    <t xml:space="preserve">No tickets are selected</t>
  </si>
  <si>
    <t xml:space="preserve">"Select 2 or 3 tickets to compare" shows with a "Browse tickets" link</t>
  </si>
  <si>
    <t xml:space="preserve">Shows "Select at least two tickets to compare..." with a "Browse tickets" link</t>
  </si>
  <si>
    <t xml:space="preserve">Wording differs slightly from EMP-04 but meets the intent</t>
  </si>
  <si>
    <t xml:space="preserve">RS-33</t>
  </si>
  <si>
    <t xml:space="preserve">Compare / S1 Responsive</t>
  </si>
  <si>
    <t xml:space="preserve">Compare on mobile</t>
  </si>
  <si>
    <t xml:space="preserve">User opens Compare with 3 tickets</t>
  </si>
  <si>
    <t xml:space="preserve">Content stacks or scrolls within its own area; no page-wide sideways scrolling</t>
  </si>
  <si>
    <t xml:space="preserve">At phone width with 3 tickets, Compare shows but the page has a little sideways play when scrolled left</t>
  </si>
  <si>
    <t xml:space="preserve">Tested by Matthew in Chrome device mode. Swiping right triggers the browser's back gesture, which is expected. Accepted as a pass by the BA: difference is marginal</t>
  </si>
  <si>
    <t xml:space="preserve">RS-34</t>
  </si>
  <si>
    <t xml:space="preserve">Add to cart from Compare</t>
  </si>
  <si>
    <t xml:space="preserve">User adds one ticket to the cart</t>
  </si>
  <si>
    <t xml:space="preserve">That ticket is added, the cart count updates, and Compare stays open</t>
  </si>
  <si>
    <t xml:space="preserve">No Add to cart on Compare</t>
  </si>
  <si>
    <t xml:space="preserve">FALLBACK STATES</t>
  </si>
  <si>
    <t xml:space="preserve">RS-35</t>
  </si>
  <si>
    <t xml:space="preserve">S1 Empty / G-07</t>
  </si>
  <si>
    <t xml:space="preserve">Loading state</t>
  </si>
  <si>
    <t xml:space="preserve">Network is throttled to Slow 3G</t>
  </si>
  <si>
    <t xml:space="preserve">Skeleton cards show, then real cards replace them</t>
  </si>
  <si>
    <t xml:space="preserve">New front end: dark skeleton cards show while tickets load on 3G, then real cards replace them</t>
  </si>
  <si>
    <t xml:space="preserve">Re-tested by Matthew in Chrome on the new front end. Old version showed a spinner (S3-18, now closed)</t>
  </si>
  <si>
    <t xml:space="preserve">RS-36</t>
  </si>
  <si>
    <t xml:space="preserve">EMP-01 / G-06</t>
  </si>
  <si>
    <t xml:space="preserve">All sold out</t>
  </si>
  <si>
    <t xml:space="preserve">Every ticket type is sold out</t>
  </si>
  <si>
    <t xml:space="preserve">"All tickets are currently sold out. Check back later." shows with a waitlist link</t>
  </si>
  <si>
    <t xml:space="preserve">Can't make tickets sold out (no stock data)</t>
  </si>
  <si>
    <t xml:space="preserve">Depends on G-04</t>
  </si>
  <si>
    <t xml:space="preserve">RS-37</t>
  </si>
  <si>
    <t xml:space="preserve">EMP-02</t>
  </si>
  <si>
    <t xml:space="preserve">No ticket types</t>
  </si>
  <si>
    <t xml:space="preserve">No ticket types exist</t>
  </si>
  <si>
    <t xml:space="preserve">"No tickets are on sale yet. Check back soon." shows; no empty cards</t>
  </si>
  <si>
    <t xml:space="preserve">Needs an empty ticket catalogue on a test environment</t>
  </si>
  <si>
    <t xml:space="preserve">RS-38</t>
  </si>
  <si>
    <t xml:space="preserve">FS-05 / CS-05</t>
  </si>
  <si>
    <t xml:space="preserve">Missing view description</t>
  </si>
  <si>
    <t xml:space="preserve">A ticket has no view description</t>
  </si>
  <si>
    <t xml:space="preserve">User opens its Detail</t>
  </si>
  <si>
    <t xml:space="preserve">"View description coming soon" shows</t>
  </si>
  <si>
    <t xml:space="preserve">All tickets have descriptions; needs test data</t>
  </si>
  <si>
    <t xml:space="preserve">RS-39</t>
  </si>
  <si>
    <t xml:space="preserve">FS-04</t>
  </si>
  <si>
    <t xml:space="preserve">Missing zone map</t>
  </si>
  <si>
    <t xml:space="preserve">A ticket has no zone map</t>
  </si>
  <si>
    <t xml:space="preserve">"Zone map not available" shows and the seat description is still there</t>
  </si>
  <si>
    <t xml:space="preserve">All tickets have maps; needs test data</t>
  </si>
  <si>
    <t xml:space="preserve">RS-40</t>
  </si>
  <si>
    <t xml:space="preserve">FS-06 / CS-11</t>
  </si>
  <si>
    <t xml:space="preserve">Missing required field</t>
  </si>
  <si>
    <t xml:space="preserve">A ticket has no name or no price</t>
  </si>
  <si>
    <t xml:space="preserve">User opens Browse and Compare</t>
  </si>
  <si>
    <t xml:space="preserve">That ticket is hidden; no "undefined", "NaN" or "$0" shows</t>
  </si>
  <si>
    <t xml:space="preserve">Needs a test ticket missing name or price</t>
  </si>
  <si>
    <t xml:space="preserve">RS-41</t>
  </si>
  <si>
    <t xml:space="preserve">CS-13</t>
  </si>
  <si>
    <t xml:space="preserve">Broken image</t>
  </si>
  <si>
    <t xml:space="preserve">A ticket image URL is wrong</t>
  </si>
  <si>
    <t xml:space="preserve">A fallback image or neutral placeholder shows, not a broken image icon</t>
  </si>
  <si>
    <t xml:space="preserve">Needs a ticket with a broken image URL</t>
  </si>
  <si>
    <t xml:space="preserve">FIRESTORE READ FAILURES</t>
  </si>
  <si>
    <t xml:space="preserve">RS-42</t>
  </si>
  <si>
    <t xml:space="preserve">FS-01</t>
  </si>
  <si>
    <t xml:space="preserve">Permission denied</t>
  </si>
  <si>
    <t xml:space="preserve">Firestore rules deny access</t>
  </si>
  <si>
    <t xml:space="preserve">A friendly message with Retry shows; "Missing or insufficient permissions" never shows</t>
  </si>
  <si>
    <t xml:space="preserve">A developer needs to deny Firestore access on a test deploy (Tickets are read in the browser from Firestore via documents:runQuery.)</t>
  </si>
  <si>
    <t xml:space="preserve">RS-43</t>
  </si>
  <si>
    <t xml:space="preserve">ERR-01 / G-14</t>
  </si>
  <si>
    <t xml:space="preserve">Load failure</t>
  </si>
  <si>
    <t xml:space="preserve">The ticket request fails (offline in dev tools)</t>
  </si>
  <si>
    <t xml:space="preserve">"We couldn't load tickets right now. Please try again." shows with Retry; no raw API error</t>
  </si>
  <si>
    <t xml:space="preserve">Blocked firestore.googleapis.com in DevTools and reloaded /tickets: page shows only a loading spinner indefinitely; no message, no Retry</t>
  </si>
  <si>
    <t xml:space="preserve">S3-25</t>
  </si>
  <si>
    <t xml:space="preserve">Tested by Matthew in Chrome (Network request blocking), new front end</t>
  </si>
  <si>
    <t xml:space="preserve">RS-44</t>
  </si>
  <si>
    <t xml:space="preserve">ERR-02</t>
  </si>
  <si>
    <t xml:space="preserve">Retry recovers</t>
  </si>
  <si>
    <t xml:space="preserve">The load failed and the connection is back</t>
  </si>
  <si>
    <t xml:space="preserve">User selects Retry</t>
  </si>
  <si>
    <t xml:space="preserve">Tickets load and the error disappears</t>
  </si>
  <si>
    <t xml:space="preserve">No Retry button exists, so the user can only reload the page</t>
  </si>
  <si>
    <t xml:space="preserve">RS-45</t>
  </si>
  <si>
    <t xml:space="preserve">ERR-03</t>
  </si>
  <si>
    <t xml:space="preserve">Retry fails again</t>
  </si>
  <si>
    <t xml:space="preserve">The connection is still down</t>
  </si>
  <si>
    <t xml:space="preserve">Same message stays; Retry still works; no reload loop</t>
  </si>
  <si>
    <t xml:space="preserve">No Retry button exists</t>
  </si>
  <si>
    <t xml:space="preserve">RS-46</t>
  </si>
  <si>
    <t xml:space="preserve">FS-02</t>
  </si>
  <si>
    <t xml:space="preserve">Slow response</t>
  </si>
  <si>
    <t xml:space="preserve">Firestore takes more than 10 seconds</t>
  </si>
  <si>
    <t xml:space="preserve">Loading is replaced by the error message with Retry</t>
  </si>
  <si>
    <t xml:space="preserve">With Firestore blocked the request never succeeds and the spinner never times out, so the 10-second rule (FS-02) isn't met</t>
  </si>
  <si>
    <t xml:space="preserve">Tested via request blocking rather than a slow response</t>
  </si>
  <si>
    <t xml:space="preserve">RS-47</t>
  </si>
  <si>
    <t xml:space="preserve">FS-03</t>
  </si>
  <si>
    <t xml:space="preserve">Offline after load</t>
  </si>
  <si>
    <t xml:space="preserve">Browse has loaded, then the device goes offline</t>
  </si>
  <si>
    <t xml:space="preserve">User opens a Detail that needs new data</t>
  </si>
  <si>
    <t xml:space="preserve">"You're offline. Check your connection and try again." shows; existing content stays</t>
  </si>
  <si>
    <t xml:space="preserve">Loaded /tickets online, then went offline: tickets stay on screen with no errors</t>
  </si>
  <si>
    <t xml:space="preserve">Tested by Matthew in Chrome, 18/10</t>
  </si>
  <si>
    <t xml:space="preserve">RS-48</t>
  </si>
  <si>
    <t xml:space="preserve">ERR-04</t>
  </si>
  <si>
    <t xml:space="preserve">Detail load failure</t>
  </si>
  <si>
    <t xml:space="preserve">The Detail request fails</t>
  </si>
  <si>
    <t xml:space="preserve">Modal shows "We couldn't load this ticket. Please try again." with Retry and Close</t>
  </si>
  <si>
    <t xml:space="preserve">Offline after load, ticket details still open with full data and no errors (data already on the page)</t>
  </si>
  <si>
    <t xml:space="preserve">Tested by Matthew in Chrome, 18/10. A true load failure is covered by RS-43 with request blocking</t>
  </si>
  <si>
    <t xml:space="preserve">RS-49</t>
  </si>
  <si>
    <t xml:space="preserve">ERR-08</t>
  </si>
  <si>
    <t xml:space="preserve">Partial failure in Compare</t>
  </si>
  <si>
    <t xml:space="preserve">One of 3 compared tickets fails to load</t>
  </si>
  <si>
    <t xml:space="preserve">The other 2 show; the failed one shows "Couldn't load this ticket" with Retry</t>
  </si>
  <si>
    <t xml:space="preserve">Needs a developer to make one ticket fail on a test deploy (Tickets are read in the browser from Firestore via documents:runQuery.)</t>
  </si>
  <si>
    <t xml:space="preserve">ACCESSIBILITY SMOKE</t>
  </si>
  <si>
    <t xml:space="preserve">RS-50</t>
  </si>
  <si>
    <t xml:space="preserve">A11Y-07 / A11Y-08</t>
  </si>
  <si>
    <t xml:space="preserve">Keyboard journey</t>
  </si>
  <si>
    <t xml:space="preserve">Mouse is not used</t>
  </si>
  <si>
    <t xml:space="preserve">User tabs from Browse to Detail to Compare and back</t>
  </si>
  <si>
    <t xml:space="preserve">Every control is reachable in reading order; focus enters and leaves the modal correctly</t>
  </si>
  <si>
    <t xml:space="preserve">Modal: focus moves in, stays trapped, returns on Esc. Compare: removing a ticket loses focus</t>
  </si>
  <si>
    <t xml:space="preserve">Full page tab-through not done; Compare focus issue logged as S3-14</t>
  </si>
  <si>
    <t xml:space="preserve">RS-51</t>
  </si>
  <si>
    <t xml:space="preserve">A11Y-09</t>
  </si>
  <si>
    <t xml:space="preserve">Visible focus</t>
  </si>
  <si>
    <t xml:space="preserve">User is tabbing</t>
  </si>
  <si>
    <t xml:space="preserve">User looks at the focused element</t>
  </si>
  <si>
    <t xml:space="preserve">A clear outline shows on every focused element</t>
  </si>
  <si>
    <t xml:space="preserve">2px solid focus outline on focused controls</t>
  </si>
  <si>
    <t xml:space="preserve">RS-52</t>
  </si>
  <si>
    <t xml:space="preserve">A11Y-04 / A11Y-05</t>
  </si>
  <si>
    <t xml:space="preserve">Contrast</t>
  </si>
  <si>
    <t xml:space="preserve">Lighthouse is run on each screen</t>
  </si>
  <si>
    <t xml:space="preserve">User checks the accessibility audit</t>
  </si>
  <si>
    <t xml:space="preserve">No contrast failures, including muted sold-out cards</t>
  </si>
  <si>
    <t xml:space="preserve">New front end: lowest text contrast is the red price at 4.0:1 on 24px bold, which meets the 3:1 large-text rule; body text 13.5:1</t>
  </si>
  <si>
    <t xml:space="preserve">S3-15 closed</t>
  </si>
  <si>
    <t xml:space="preserve">RS-53</t>
  </si>
  <si>
    <t xml:space="preserve">A11Y-10 / A11Y-12</t>
  </si>
  <si>
    <t xml:space="preserve">Screen reader names and messages</t>
  </si>
  <si>
    <t xml:space="preserve">VoiceOver is on</t>
  </si>
  <si>
    <t xml:space="preserve">User goes through Browse, Detail and Compare</t>
  </si>
  <si>
    <t xml:space="preserve">Every button has a clear name; added-to-cart, error and limit messages are announced</t>
  </si>
  <si>
    <t xml:space="preserve">New front end: Compare checkboxes are labelled "Compare &lt;ticket name&gt;"; buttons have clear names</t>
  </si>
  <si>
    <t xml:space="preserve">S3-16 closed. VoiceOver not run</t>
  </si>
  <si>
    <t xml:space="preserve">Screen</t>
  </si>
  <si>
    <t xml:space="preserve">Rule</t>
  </si>
  <si>
    <t xml:space="preserve">Rule name</t>
  </si>
  <si>
    <t xml:space="preserve">Passes when</t>
  </si>
  <si>
    <t xml:space="preserve">What I saw</t>
  </si>
  <si>
    <t xml:space="preserve">DASHBOARD</t>
  </si>
  <si>
    <t xml:space="preserve">CA-01</t>
  </si>
  <si>
    <t xml:space="preserve">Dashboard</t>
  </si>
  <si>
    <t xml:space="preserve">CS-08</t>
  </si>
  <si>
    <t xml:space="preserve">Button labels</t>
  </si>
  <si>
    <t xml:space="preserve">Verb first, sentence case, same label for same action</t>
  </si>
  <si>
    <t xml:space="preserve">Mobile bottom nav calls the Dashboard "Home"; sidebar calls it "Dashboard"</t>
  </si>
  <si>
    <t xml:space="preserve">S3-23</t>
  </si>
  <si>
    <t xml:space="preserve">CA-02</t>
  </si>
  <si>
    <t xml:space="preserve">CS-10</t>
  </si>
  <si>
    <t xml:space="preserve">Spelling, grammar and case</t>
  </si>
  <si>
    <t xml:space="preserve">Australian English, no typos, sentence case</t>
  </si>
  <si>
    <t xml:space="preserve">No spelling issues found</t>
  </si>
  <si>
    <t xml:space="preserve">CA-03</t>
  </si>
  <si>
    <t xml:space="preserve">CS-11</t>
  </si>
  <si>
    <t xml:space="preserve">No placeholder or test content</t>
  </si>
  <si>
    <t xml:space="preserve">No lorem ipsum, TBD, test, undefined, null, NaN</t>
  </si>
  <si>
    <t xml:space="preserve">Ticket pass shows "Your Name", "QR", "Row 1 · Seat 1"</t>
  </si>
  <si>
    <t xml:space="preserve">S3-10</t>
  </si>
  <si>
    <t xml:space="preserve">CA-04</t>
  </si>
  <si>
    <t xml:space="preserve">CS-12</t>
  </si>
  <si>
    <t xml:space="preserve">Brand</t>
  </si>
  <si>
    <t xml:space="preserve">Grand Prix palette (red, black, white) and typography</t>
  </si>
  <si>
    <t xml:space="preserve">Colours now Grand Prix red and black (S3-17 closed), but the logo says "GARAGE", the template name</t>
  </si>
  <si>
    <t xml:space="preserve">S3-21</t>
  </si>
  <si>
    <t xml:space="preserve">CA-05</t>
  </si>
  <si>
    <t xml:space="preserve">Images</t>
  </si>
  <si>
    <t xml:space="preserve">No broken images; meaningful images have alt text</t>
  </si>
  <si>
    <t xml:space="preserve">CA-06</t>
  </si>
  <si>
    <t xml:space="preserve">Page titles and headings</t>
  </si>
  <si>
    <t xml:space="preserve">Unique page title; one main heading</t>
  </si>
  <si>
    <t xml:space="preserve">"Dashboard | Grand Prix Ticketing"</t>
  </si>
  <si>
    <t xml:space="preserve">CA-07</t>
  </si>
  <si>
    <t xml:space="preserve">CS-15</t>
  </si>
  <si>
    <t xml:space="preserve">Links</t>
  </si>
  <si>
    <t xml:space="preserve">Descriptive text; resolves; goes where it says (see Link Check)</t>
  </si>
  <si>
    <t xml:space="preserve">10 links go to "#" and do nothing</t>
  </si>
  <si>
    <t xml:space="preserve">S3-09</t>
  </si>
  <si>
    <t xml:space="preserve">CA-08</t>
  </si>
  <si>
    <t xml:space="preserve">CS-01</t>
  </si>
  <si>
    <t xml:space="preserve">Ticket names</t>
  </si>
  <si>
    <t xml:space="preserve">Official tier name, Title Case, 40 chars or fewer, same on every screen</t>
  </si>
  <si>
    <t xml:space="preserve">Same 6 names on Browse, Detail and Compare</t>
  </si>
  <si>
    <t xml:space="preserve">CA-09</t>
  </si>
  <si>
    <t xml:space="preserve">CS-02</t>
  </si>
  <si>
    <t xml:space="preserve">Prices</t>
  </si>
  <si>
    <t xml:space="preserve">$ sign, whole dollars, ranges with a dash; never $0 or NaN</t>
  </si>
  <si>
    <t xml:space="preserve">"$235 AUD" ... "$4,950 AUD"</t>
  </si>
  <si>
    <t xml:space="preserve">CA-10</t>
  </si>
  <si>
    <t xml:space="preserve">CS-03</t>
  </si>
  <si>
    <t xml:space="preserve">Dates</t>
  </si>
  <si>
    <t xml:space="preserve">Real dates with day names, e.g. Fri 13 - Sun 15 Mar 2026</t>
  </si>
  <si>
    <t xml:space="preserve">Day names only: "Thu, Fri, Sat, Sun"</t>
  </si>
  <si>
    <t xml:space="preserve">CA-11</t>
  </si>
  <si>
    <t xml:space="preserve">CS-07</t>
  </si>
  <si>
    <t xml:space="preserve">Stock labels</t>
  </si>
  <si>
    <t xml:space="preserve">Exactly "Sold out" / "Only X left", shown as text</t>
  </si>
  <si>
    <t xml:space="preserve">No stock labels exist</t>
  </si>
  <si>
    <t xml:space="preserve">CA-12</t>
  </si>
  <si>
    <t xml:space="preserve">"View details", "Add to selection", "Highlight zone", "Clear selection"</t>
  </si>
  <si>
    <t xml:space="preserve">CA-13</t>
  </si>
  <si>
    <t xml:space="preserve">CS-09</t>
  </si>
  <si>
    <t xml:space="preserve">Error, empty and fallback messages</t>
  </si>
  <si>
    <t xml:space="preserve">Match S3W1 ERR/EMP/FS wording; no technical text</t>
  </si>
  <si>
    <t xml:space="preserve">CA-14</t>
  </si>
  <si>
    <t xml:space="preserve">Ticket names, buttons and headings shown in ALL CAPS</t>
  </si>
  <si>
    <t xml:space="preserve">S3-24</t>
  </si>
  <si>
    <t xml:space="preserve">CA-15</t>
  </si>
  <si>
    <t xml:space="preserve">Tickets page now also shows the "Your Name" / "Row 1 · Seat 1" pass</t>
  </si>
  <si>
    <t xml:space="preserve">CA-16</t>
  </si>
  <si>
    <t xml:space="preserve">CA-17</t>
  </si>
  <si>
    <t xml:space="preserve">Each card map is labelled with its zone</t>
  </si>
  <si>
    <t xml:space="preserve">CA-18</t>
  </si>
  <si>
    <t xml:space="preserve">"Browse tickets | Grand Prix Ticketing", one h1</t>
  </si>
  <si>
    <t xml:space="preserve">CA-19</t>
  </si>
  <si>
    <t xml:space="preserve">Tickets page now also has 8 links to "#" (upgrades and events)</t>
  </si>
  <si>
    <t xml:space="preserve">CA-20</t>
  </si>
  <si>
    <t xml:space="preserve">Matches card</t>
  </si>
  <si>
    <t xml:space="preserve">CA-21</t>
  </si>
  <si>
    <t xml:space="preserve">CA-22</t>
  </si>
  <si>
    <t xml:space="preserve">Day names only</t>
  </si>
  <si>
    <t xml:space="preserve">CA-23</t>
  </si>
  <si>
    <t xml:space="preserve">CS-04</t>
  </si>
  <si>
    <t xml:space="preserve">Zone and seat</t>
  </si>
  <si>
    <t xml:space="preserve">Zone name plus a 1-2 sentence seat description</t>
  </si>
  <si>
    <t xml:space="preserve">"Seat allocation not specified for this ticket." on every ticket</t>
  </si>
  <si>
    <t xml:space="preserve">CA-24</t>
  </si>
  <si>
    <t xml:space="preserve">CS-05</t>
  </si>
  <si>
    <t xml:space="preserve">View description</t>
  </si>
  <si>
    <t xml:space="preserve">Plain language, 15-60 words; else "View description coming soon"</t>
  </si>
  <si>
    <t xml:space="preserve">Plain one-sentence view descriptions</t>
  </si>
  <si>
    <t xml:space="preserve">CA-25</t>
  </si>
  <si>
    <t xml:space="preserve">CS-06</t>
  </si>
  <si>
    <t xml:space="preserve">Parallel noun-first items, sentence case, no full stops</t>
  </si>
  <si>
    <t xml:space="preserve">Parallel noun-first items, no full stops</t>
  </si>
  <si>
    <t xml:space="preserve">CA-26</t>
  </si>
  <si>
    <t xml:space="preserve">CA-27</t>
  </si>
  <si>
    <t xml:space="preserve">"Add to selection" (no Add to cart)</t>
  </si>
  <si>
    <t xml:space="preserve">CA-28</t>
  </si>
  <si>
    <t xml:space="preserve">"Ticket not found" message is plain with a next step</t>
  </si>
  <si>
    <t xml:space="preserve">CA-29</t>
  </si>
  <si>
    <t xml:space="preserve">CA-30</t>
  </si>
  <si>
    <t xml:space="preserve">No placeholder text</t>
  </si>
  <si>
    <t xml:space="preserve">CA-31</t>
  </si>
  <si>
    <t xml:space="preserve">CA-32</t>
  </si>
  <si>
    <t xml:space="preserve">Map alt "Albert Park Grand Prix Circuit map"</t>
  </si>
  <si>
    <t xml:space="preserve">CA-33</t>
  </si>
  <si>
    <t xml:space="preserve">"Back to browse" resolves</t>
  </si>
  <si>
    <t xml:space="preserve">CA-34</t>
  </si>
  <si>
    <t xml:space="preserve">CS-16</t>
  </si>
  <si>
    <t xml:space="preserve">Restrictions and conditions</t>
  </si>
  <si>
    <t xml:space="preserve">Age limits etc. in a visible callout</t>
  </si>
  <si>
    <t xml:space="preserve">No ticket has a restriction to check</t>
  </si>
  <si>
    <t xml:space="preserve">CA-35</t>
  </si>
  <si>
    <t xml:space="preserve">Matches Browse</t>
  </si>
  <si>
    <t xml:space="preserve">CA-36</t>
  </si>
  <si>
    <t xml:space="preserve">"$235", "$620", "$1,150"</t>
  </si>
  <si>
    <t xml:space="preserve">CA-37</t>
  </si>
  <si>
    <t xml:space="preserve">CA-38</t>
  </si>
  <si>
    <t xml:space="preserve">Zone and approximate area only; no seat description</t>
  </si>
  <si>
    <t xml:space="preserve">CA-39</t>
  </si>
  <si>
    <t xml:space="preserve">Matches Detail</t>
  </si>
  <si>
    <t xml:space="preserve">CA-40</t>
  </si>
  <si>
    <t xml:space="preserve">CA-41</t>
  </si>
  <si>
    <t xml:space="preserve">CA-42</t>
  </si>
  <si>
    <t xml:space="preserve">"Remove", "Highlight zone", "Back to tickets"</t>
  </si>
  <si>
    <t xml:space="preserve">CA-43</t>
  </si>
  <si>
    <t xml:space="preserve">Minimum-selection message is plain with a link</t>
  </si>
  <si>
    <t xml:space="preserve">CA-44</t>
  </si>
  <si>
    <t xml:space="preserve">CA-45</t>
  </si>
  <si>
    <t xml:space="preserve">CA-46</t>
  </si>
  <si>
    <t xml:space="preserve">CA-47</t>
  </si>
  <si>
    <t xml:space="preserve">Maps labelled per zone</t>
  </si>
  <si>
    <t xml:space="preserve">CA-48</t>
  </si>
  <si>
    <t xml:space="preserve">"Compare tickets | Grand Prix Ticketing", one h1</t>
  </si>
  <si>
    <t xml:space="preserve">CA-49</t>
  </si>
  <si>
    <t xml:space="preserve">"Back to tickets" and "Browse tickets" resolve</t>
  </si>
  <si>
    <t xml:space="preserve">CA-50</t>
  </si>
  <si>
    <t xml:space="preserve">ERROR AND EMPTY STATES</t>
  </si>
  <si>
    <t xml:space="preserve">CA-51</t>
  </si>
  <si>
    <t xml:space="preserve">Error and empty states</t>
  </si>
  <si>
    <t xml:space="preserve">Not found and empty Compare messages are plain; load errors not triggered</t>
  </si>
  <si>
    <t xml:space="preserve">CA-52</t>
  </si>
  <si>
    <t xml:space="preserve">No issues found</t>
  </si>
  <si>
    <t xml:space="preserve">CA-53</t>
  </si>
  <si>
    <t xml:space="preserve">Settings page says "Settings will appear here."; auth pages' meta description is "Built on garage-boilerplate"</t>
  </si>
  <si>
    <t xml:space="preserve">S3-12</t>
  </si>
  <si>
    <t xml:space="preserve">CA-54</t>
  </si>
  <si>
    <t xml:space="preserve">CA-55</t>
  </si>
  <si>
    <t xml:space="preserve">"Back to browse" and "Browse tickets" resolve</t>
  </si>
  <si>
    <t xml:space="preserve">Link or button text</t>
  </si>
  <si>
    <t xml:space="preserve">Expected destination</t>
  </si>
  <si>
    <t xml:space="preserve">Actual destination</t>
  </si>
  <si>
    <t xml:space="preserve">Resolves?</t>
  </si>
  <si>
    <t xml:space="preserve">LC-01</t>
  </si>
  <si>
    <t xml:space="preserve">Browse tickets</t>
  </si>
  <si>
    <t xml:space="preserve">/tickets (Browse)</t>
  </si>
  <si>
    <t xml:space="preserve">/tickets</t>
  </si>
  <si>
    <t xml:space="preserve">Yes</t>
  </si>
  <si>
    <t xml:space="preserve">LC-02</t>
  </si>
  <si>
    <t xml:space="preserve">[each other Dashboard link]</t>
  </si>
  <si>
    <t xml:space="preserve">[its page]</t>
  </si>
  <si>
    <t xml:space="preserve">Full standings, View full calendar, View all upgrades, 3 Upgrade links, 4 event links all go to "#"</t>
  </si>
  <si>
    <t xml:space="preserve">No</t>
  </si>
  <si>
    <t xml:space="preserve">10 dead links</t>
  </si>
  <si>
    <t xml:space="preserve">LC-03</t>
  </si>
  <si>
    <t xml:space="preserve">Header / nav</t>
  </si>
  <si>
    <t xml:space="preserve">[each header link, e.g. logo, Home]</t>
  </si>
  <si>
    <t xml:space="preserve">Dashboard, Tickets, Team, Profile, Settings all load; Sign out button present</t>
  </si>
  <si>
    <t xml:space="preserve">LC-04</t>
  </si>
  <si>
    <t xml:space="preserve">View details (each of the 6 ticket types)</t>
  </si>
  <si>
    <t xml:space="preserve">Detail for that ticket</t>
  </si>
  <si>
    <t xml:space="preserve">Opens the right ticket in a modal (?ticket=...)</t>
  </si>
  <si>
    <t xml:space="preserve">All 6 checked</t>
  </si>
  <si>
    <t xml:space="preserve">LC-05</t>
  </si>
  <si>
    <t xml:space="preserve">Compare tickets</t>
  </si>
  <si>
    <t xml:space="preserve">Compare with the selected tickets</t>
  </si>
  <si>
    <t xml:space="preserve">/tickets/compare with the selected tickets</t>
  </si>
  <si>
    <t xml:space="preserve">LC-06</t>
  </si>
  <si>
    <t xml:space="preserve">Join the waitlist (sold-out empty state)</t>
  </si>
  <si>
    <t xml:space="preserve">Waitlist / availability notification page</t>
  </si>
  <si>
    <t xml:space="preserve">No sold-out state, so no waitlist link</t>
  </si>
  <si>
    <t xml:space="preserve">LC-07</t>
  </si>
  <si>
    <t xml:space="preserve">Clear filters (no-results state)</t>
  </si>
  <si>
    <t xml:space="preserve">Full ticket list</t>
  </si>
  <si>
    <t xml:space="preserve">No filters on Browse</t>
  </si>
  <si>
    <t xml:space="preserve">LC-08</t>
  </si>
  <si>
    <t xml:space="preserve">Retry (error state)</t>
  </si>
  <si>
    <t xml:space="preserve">Reloads tickets on the same page</t>
  </si>
  <si>
    <t xml:space="preserve">Not tested: needs offline mode</t>
  </si>
  <si>
    <t xml:space="preserve">LC-09</t>
  </si>
  <si>
    <t xml:space="preserve">Close (X)</t>
  </si>
  <si>
    <t xml:space="preserve">Back to Browse, same scroll position</t>
  </si>
  <si>
    <t xml:space="preserve">Closes modal, back to Browse</t>
  </si>
  <si>
    <t xml:space="preserve">LC-10</t>
  </si>
  <si>
    <t xml:space="preserve">Adds to cart; cart count updates</t>
  </si>
  <si>
    <t xml:space="preserve">No Add to cart; /cart returns 404</t>
  </si>
  <si>
    <t xml:space="preserve">LC-11</t>
  </si>
  <si>
    <t xml:space="preserve">Back to tickets (ticket not found)</t>
  </si>
  <si>
    <t xml:space="preserve">"Back to browse" returns to /tickets</t>
  </si>
  <si>
    <t xml:space="preserve">Label is "Back to browse"</t>
  </si>
  <si>
    <t xml:space="preserve">LC-12</t>
  </si>
  <si>
    <t xml:space="preserve">[any other link in the modal]</t>
  </si>
  <si>
    <t xml:space="preserve">No other links in the modal</t>
  </si>
  <si>
    <t xml:space="preserve">LC-13</t>
  </si>
  <si>
    <t xml:space="preserve">Browse tickets (nothing selected)</t>
  </si>
  <si>
    <t xml:space="preserve">LC-14</t>
  </si>
  <si>
    <t xml:space="preserve">Remove (each ticket)</t>
  </si>
  <si>
    <t xml:space="preserve">Removes that ticket, stays on Compare</t>
  </si>
  <si>
    <t xml:space="preserve">Removes the ticket, stays on Compare</t>
  </si>
  <si>
    <t xml:space="preserve">LC-15</t>
  </si>
  <si>
    <t xml:space="preserve">View details (each ticket)</t>
  </si>
  <si>
    <t xml:space="preserve">No View details on Compare</t>
  </si>
  <si>
    <t xml:space="preserve">LC-16</t>
  </si>
  <si>
    <t xml:space="preserve">Add to cart (each ticket)</t>
  </si>
  <si>
    <t xml:space="preserve">LC-17</t>
  </si>
  <si>
    <t xml:space="preserve">Footer</t>
  </si>
  <si>
    <t xml:space="preserve">[each footer link, e.g. Terms, Privacy, FAQ, Contact]</t>
  </si>
  <si>
    <t xml:space="preserve">No footer on app pages</t>
  </si>
  <si>
    <t xml:space="preserve">LC-18</t>
  </si>
  <si>
    <t xml:space="preserve">Cart</t>
  </si>
  <si>
    <t xml:space="preserve">Cart icon / link</t>
  </si>
  <si>
    <t xml:space="preserve">Cart or checkout page</t>
  </si>
  <si>
    <t xml:space="preserve">No cart icon</t>
  </si>
  <si>
    <t xml:space="preserve">LC-19</t>
  </si>
  <si>
    <t xml:space="preserve">Home</t>
  </si>
  <si>
    <t xml:space="preserve">Sign in</t>
  </si>
  <si>
    <t xml:space="preserve">/auth/signin</t>
  </si>
  <si>
    <t xml:space="preserve">LC-20</t>
  </si>
  <si>
    <t xml:space="preserve">Get your tickets</t>
  </si>
  <si>
    <t xml:space="preserve">/auth/signup</t>
  </si>
  <si>
    <t xml:space="preserve">LC-21</t>
  </si>
  <si>
    <t xml:space="preserve">Back to dashboard</t>
  </si>
  <si>
    <t xml:space="preserve">/dashboard</t>
  </si>
  <si>
    <t xml:space="preserve">LC-22</t>
  </si>
  <si>
    <t xml:space="preserve">Back to tickets</t>
  </si>
  <si>
    <t xml:space="preserve">LC-23</t>
  </si>
  <si>
    <t xml:space="preserve">Header</t>
  </si>
  <si>
    <t xml:space="preserve">Profile icon</t>
  </si>
  <si>
    <t xml:space="preserve">/profile</t>
  </si>
  <si>
    <t xml:space="preserve">LC-24</t>
  </si>
  <si>
    <t xml:space="preserve">LC-25</t>
  </si>
  <si>
    <t xml:space="preserve">LC-26</t>
  </si>
  <si>
    <t xml:space="preserve">LC-27</t>
  </si>
  <si>
    <t xml:space="preserve">LC-28</t>
  </si>
  <si>
    <t xml:space="preserve">Rows in [brackets] are placeholders: add one row per real link you find on that screen.</t>
  </si>
  <si>
    <t xml:space="preserve">Title</t>
  </si>
  <si>
    <t xml:space="preserve">Found in (RS / CA / LC ID)</t>
  </si>
  <si>
    <t xml:space="preserve">Steps to reproduce</t>
  </si>
  <si>
    <t xml:space="preserve">Expected</t>
  </si>
  <si>
    <t xml:space="preserve">Actual</t>
  </si>
  <si>
    <t xml:space="preserve">Severity</t>
  </si>
  <si>
    <t xml:space="preserve">Screenshot link</t>
  </si>
  <si>
    <t xml:space="preserve">Assigned to</t>
  </si>
  <si>
    <t xml:space="preserve">Status</t>
  </si>
  <si>
    <t xml:space="preserve">Date logged</t>
  </si>
  <si>
    <t xml:space="preserve">S3-00 (example)</t>
  </si>
  <si>
    <t xml:space="preserve">Waitlist link returns 404</t>
  </si>
  <si>
    <t xml:space="preserve">LC-06, CA-15</t>
  </si>
  <si>
    <t xml:space="preserve">1. Make every ticket type sold out
2. Open /tickets
3. Select "Join the waitlist"</t>
  </si>
  <si>
    <t xml:space="preserve">Waitlist page opens</t>
  </si>
  <si>
    <t xml:space="preserve">404 page</t>
  </si>
  <si>
    <t xml:space="preserve">(paste link)</t>
  </si>
  <si>
    <t xml:space="preserve">(developer)</t>
  </si>
  <si>
    <t xml:space="preserve">17/10/2026</t>
  </si>
  <si>
    <t xml:space="preserve">S3-01</t>
  </si>
  <si>
    <t xml:space="preserve">Leftover template text in meta description</t>
  </si>
  <si>
    <t xml:space="preserve">CA (Error and empty states, CS-11)</t>
  </si>
  <si>
    <t xml:space="preserve">Sign in / Sign up</t>
  </si>
  <si>
    <t xml:space="preserve">1. Open /auth/signin
2. View page source or a link preview</t>
  </si>
  <si>
    <t xml:space="preserve">A real description of the site</t>
  </si>
  <si>
    <t xml:space="preserve">"Built on garage-boilerplate"</t>
  </si>
  <si>
    <t xml:space="preserve">S3-02</t>
  </si>
  <si>
    <t xml:space="preserve">Home page title is just "Home"</t>
  </si>
  <si>
    <t xml:space="preserve">1. Open the home page
2. Read the browser tab</t>
  </si>
  <si>
    <t xml:space="preserve">"Home | Grand Prix Ticketing"</t>
  </si>
  <si>
    <t xml:space="preserve">"Home"</t>
  </si>
  <si>
    <t xml:space="preserve">Day names shown instead of real dates</t>
  </si>
  <si>
    <t xml:space="preserve">RS-06, RS-14, CA CS-03</t>
  </si>
  <si>
    <t xml:space="preserve">Browse, Detail, Compare</t>
  </si>
  <si>
    <t xml:space="preserve">1. Open /tickets
2. Read "Days covered" on any 4-day ticket</t>
  </si>
  <si>
    <t xml:space="preserve">Real dates: day, date and month</t>
  </si>
  <si>
    <t xml:space="preserve">"Thu, Fri, Sat, Sun" (Sprint 2 G-09 still open)</t>
  </si>
  <si>
    <t xml:space="preserve">No tier badge or view quality indicator on cards</t>
  </si>
  <si>
    <t xml:space="preserve">1. Open /tickets
2. Look at any card</t>
  </si>
  <si>
    <t xml:space="preserve">Tier badge/label and a view quality indicator</t>
  </si>
  <si>
    <t xml:space="preserve">Neither shown (Sprint 2 G-01 still open)</t>
  </si>
  <si>
    <t xml:space="preserve">No seat description on any ticket</t>
  </si>
  <si>
    <t xml:space="preserve">RS-15, CA CS-04</t>
  </si>
  <si>
    <t xml:space="preserve">Detail, Compare</t>
  </si>
  <si>
    <t xml:space="preserve">1. Open details for any ticket
2. Read "Zone and location"</t>
  </si>
  <si>
    <t xml:space="preserve">1-2 sentence seat description</t>
  </si>
  <si>
    <t xml:space="preserve">"Seat allocation not specified for this ticket." on all 6</t>
  </si>
  <si>
    <t xml:space="preserve">No cart: no Add to cart, /cart is 404</t>
  </si>
  <si>
    <t xml:space="preserve">RS-18, RS-19, RS-34, LC-10, LC-16</t>
  </si>
  <si>
    <t xml:space="preserve">1. Open any ticket's details
2. Look for Add to cart
3. Open /cart</t>
  </si>
  <si>
    <t xml:space="preserve">Add to cart updates a cart count</t>
  </si>
  <si>
    <t xml:space="preserve">Only "Add to selection"; /cart and /checkout return 404 (Sprint 2 G-11 still open)</t>
  </si>
  <si>
    <t xml:space="preserve">Stock and availability not built</t>
  </si>
  <si>
    <t xml:space="preserve">RS-08, RS-09, RS-26, RS-36, CA CS-07</t>
  </si>
  <si>
    <t xml:space="preserve">1. Open /tickets
2. Look for sold-out or low-stock labels</t>
  </si>
  <si>
    <t xml:space="preserve">"Sold out" and "Only X left" states</t>
  </si>
  <si>
    <t xml:space="preserve">No stock data, so these states never appear (Sprint 2 G-04 still open)</t>
  </si>
  <si>
    <t xml:space="preserve">Price ranges not supported</t>
  </si>
  <si>
    <t xml:space="preserve">1. Check any ticket type</t>
  </si>
  <si>
    <t xml:space="preserve">Range shown where a type has several prices</t>
  </si>
  <si>
    <t xml:space="preserve">One price per type (Sprint 2 G-05 still open)</t>
  </si>
  <si>
    <t xml:space="preserve">18 links go nowhere (Dashboard and Tickets pages)</t>
  </si>
  <si>
    <t xml:space="preserve">LC-02, CA CS-15</t>
  </si>
  <si>
    <t xml:space="preserve">1. Open /dashboard
2. Click Full standings, View full calendar, View all upgrades, any Upgrade or any event</t>
  </si>
  <si>
    <t xml:space="preserve">Each opens its page</t>
  </si>
  <si>
    <t xml:space="preserve">All link to "#" and nothing happens. New front end: the same upgrade and event links also appear on /tickets (8 more)</t>
  </si>
  <si>
    <t xml:space="preserve">Placeholder content on Dashboard ticket pass</t>
  </si>
  <si>
    <t xml:space="preserve">CA CS-11</t>
  </si>
  <si>
    <t xml:space="preserve">Dashboard, Tickets</t>
  </si>
  <si>
    <t xml:space="preserve">1. Open /dashboard
2. Look at "Your tickets"</t>
  </si>
  <si>
    <t xml:space="preserve">The user's real name, QR code and seat</t>
  </si>
  <si>
    <t xml:space="preserve">"Your Name", "QR", "Row 1 · Seat 1"</t>
  </si>
  <si>
    <t xml:space="preserve">S3-11</t>
  </si>
  <si>
    <t xml:space="preserve">Race dates inconsistent across pages</t>
  </si>
  <si>
    <t xml:space="preserve">CA CS-03</t>
  </si>
  <si>
    <t xml:space="preserve">1. Open /dashboard and read the race dates
2. Compare with the home page and ticket days</t>
  </si>
  <si>
    <t xml:space="preserve">Same race week dates everywhere</t>
  </si>
  <si>
    <t xml:space="preserve">Dashboard says "1 – 2 January"; home says 4-day race week; tickets cover Thu-Sun</t>
  </si>
  <si>
    <t xml:space="preserve">Placeholder Settings page</t>
  </si>
  <si>
    <t xml:space="preserve">Settings</t>
  </si>
  <si>
    <t xml:space="preserve">1. Open /settings</t>
  </si>
  <si>
    <t xml:space="preserve">Real settings, or remove the link</t>
  </si>
  <si>
    <t xml:space="preserve">"Settings will appear here."</t>
  </si>
  <si>
    <t xml:space="preserve">Selection lost on refresh; Compare can't be linked</t>
  </si>
  <si>
    <t xml:space="preserve">Browse, Compare</t>
  </si>
  <si>
    <t xml:space="preserve">1. Select 2 tickets
2. Refresh /tickets, or open /tickets/compare directly</t>
  </si>
  <si>
    <t xml:space="preserve">Selection kept (or encoded in the URL)</t>
  </si>
  <si>
    <t xml:space="preserve">Selection resets to 0</t>
  </si>
  <si>
    <t xml:space="preserve">Focus lost after removing a ticket on Compare</t>
  </si>
  <si>
    <t xml:space="preserve">1. Compare 3 tickets
2. Press Remove on one using the keyboard</t>
  </si>
  <si>
    <t xml:space="preserve">Focus moves to the next ticket or heading</t>
  </si>
  <si>
    <t xml:space="preserve">Focus drops to the page body</t>
  </si>
  <si>
    <t xml:space="preserve">S3-15</t>
  </si>
  <si>
    <t xml:space="preserve">Subtitle text contrast below 4.5:1</t>
  </si>
  <si>
    <t xml:space="preserve">1. Open /tickets
2. Check "Explore Australian Grand Prix ticket types..." in WebAIM</t>
  </si>
  <si>
    <t xml:space="preserve">At least 4.5:1</t>
  </si>
  <si>
    <t xml:space="preserve">About 4.0:1 (grey on near-black)</t>
  </si>
  <si>
    <t xml:space="preserve">Closed 18/10 on new front end: subtitle text now passes contrast</t>
  </si>
  <si>
    <t xml:space="preserve">Closed</t>
  </si>
  <si>
    <t xml:space="preserve">S3-16</t>
  </si>
  <si>
    <t xml:space="preserve">Limit-reached buttons' names don't match their text</t>
  </si>
  <si>
    <t xml:space="preserve">1. Select 3 tickets
2. Inspect a "Selection limit reached" button</t>
  </si>
  <si>
    <t xml:space="preserve">Accessible name includes "Selection limit reached"</t>
  </si>
  <si>
    <t xml:space="preserve">Name is only the ticket name (WCAG 2.5.3)</t>
  </si>
  <si>
    <t xml:space="preserve">Closed 18/10 on new front end: Compare checkboxes have matching labels</t>
  </si>
  <si>
    <t xml:space="preserve">S3-17</t>
  </si>
  <si>
    <t xml:space="preserve">Colours don't match Grand Prix brand</t>
  </si>
  <si>
    <t xml:space="preserve">CA CS-12</t>
  </si>
  <si>
    <t xml:space="preserve">All</t>
  </si>
  <si>
    <t xml:space="preserve">1. Open any page
2. Compare with the Grand Prix style guide</t>
  </si>
  <si>
    <t xml:space="preserve">Grand Prix red, black and white</t>
  </si>
  <si>
    <t xml:space="preserve">Green accents (Sprint 2 G-15 still open)</t>
  </si>
  <si>
    <t xml:space="preserve">Closed 18/10 on new front end: red and black palette</t>
  </si>
  <si>
    <t xml:space="preserve">S3-18</t>
  </si>
  <si>
    <t xml:space="preserve">Spinner instead of skeleton cards while loading</t>
  </si>
  <si>
    <t xml:space="preserve">1. Open /tickets in Chrome
2. DevTools &gt; Network &gt; Slow 3G
3. Reload (Cmd+Shift+R)</t>
  </si>
  <si>
    <t xml:space="preserve">Skeleton placeholder per card, replaced by real cards</t>
  </si>
  <si>
    <t xml:space="preserve">A single spinner until all tickets load (Sprint 2 G-07 still open)</t>
  </si>
  <si>
    <t xml:space="preserve">See Screenshots tab; Closed 18/10 on new front end: skeleton cards show while loading</t>
  </si>
  <si>
    <t xml:space="preserve">S3-19</t>
  </si>
  <si>
    <t xml:space="preserve">Circuit map shows a blank box while loading</t>
  </si>
  <si>
    <t xml:space="preserve">1. Same as S3-18
2. Watch the map area on each card as it appears</t>
  </si>
  <si>
    <t xml:space="preserve">A sized placeholder (or skeleton) that clearly shows the map is loading</t>
  </si>
  <si>
    <t xml:space="preserve">Blank white/grey box until the track image loads</t>
  </si>
  <si>
    <t xml:space="preserve">See Screenshots tab; Closed 18/10 on new front end: skeleton covers the map area while loading</t>
  </si>
  <si>
    <t xml:space="preserve">S3-20</t>
  </si>
  <si>
    <t xml:space="preserve">Header shows "Welcome back, User" before the real name loads</t>
  </si>
  <si>
    <t xml:space="preserve">All signed-in pages</t>
  </si>
  <si>
    <t xml:space="preserve">1. Throttle to 3G
2. Reload /tickets
3. Watch the header</t>
  </si>
  <si>
    <t xml:space="preserve">Name appears once loaded, or no name until then</t>
  </si>
  <si>
    <t xml:space="preserve">"Welcome back, User" shows first, then changes to the account name</t>
  </si>
  <si>
    <t xml:space="preserve">Closed 18/10 on new front end: no "Welcome back, User" header</t>
  </si>
  <si>
    <t xml:space="preserve">Logo says "GARAGE" (template name)</t>
  </si>
  <si>
    <t xml:space="preserve">1. Sign in
2. Look at the sidebar or top-left logo</t>
  </si>
  <si>
    <t xml:space="preserve">Grand Prix Ticketing name and logo</t>
  </si>
  <si>
    <t xml:space="preserve">"GARAGE", from the garage-boilerplate template</t>
  </si>
  <si>
    <t xml:space="preserve">S3-22</t>
  </si>
  <si>
    <t xml:space="preserve">Compare checkbox is small</t>
  </si>
  <si>
    <t xml:space="preserve">RS-21 (Detail)</t>
  </si>
  <si>
    <t xml:space="preserve">1. Open any ticket's details
2. Measure the Compare checkbox</t>
  </si>
  <si>
    <t xml:space="preserve">At least 44px tap target (team standard, see S3W1 Q-03)</t>
  </si>
  <si>
    <t xml:space="preserve">24px checkbox</t>
  </si>
  <si>
    <t xml:space="preserve">Dashboard has two different names</t>
  </si>
  <si>
    <t xml:space="preserve">CA CS-08</t>
  </si>
  <si>
    <t xml:space="preserve">Navigation</t>
  </si>
  <si>
    <t xml:space="preserve">1. Compare the sidebar with the mobile bottom nav</t>
  </si>
  <si>
    <t xml:space="preserve">Same label in both</t>
  </si>
  <si>
    <t xml:space="preserve">Sidebar "Dashboard", bottom nav "Home"</t>
  </si>
  <si>
    <t xml:space="preserve">Ticket names and buttons in all caps</t>
  </si>
  <si>
    <t xml:space="preserve">CA CS-10</t>
  </si>
  <si>
    <t xml:space="preserve">1. Open /tickets</t>
  </si>
  <si>
    <t xml:space="preserve">Sentence or title case (CS-01, CS-10)</t>
  </si>
  <si>
    <t xml:space="preserve">ALL CAPS ticket names, buttons and headings; harder to read</t>
  </si>
  <si>
    <t xml:space="preserve">Ticket load failure shows an endless spinner</t>
  </si>
  <si>
    <t xml:space="preserve">RS-43 to RS-46</t>
  </si>
  <si>
    <t xml:space="preserve">1. Open /tickets in Chrome
2. DevTools &gt; Network: right-click documents:runQuery &gt; Block request domain
3. Reload (Cmd+Shift+R)</t>
  </si>
  <si>
    <t xml:space="preserve">"We couldn't load tickets right now. Please try again." with a Retry button, shown within 10 seconds (S3W1 ERR-01 to ERR-03, FS-02)</t>
  </si>
  <si>
    <t xml:space="preserve">Loading spinner forever; no message, no Retry, no timeout. Users can't tell anything is wrong</t>
  </si>
  <si>
    <t xml:space="preserve">See Screenshots tab</t>
  </si>
  <si>
    <t xml:space="preserve">S3-26</t>
  </si>
  <si>
    <t xml:space="preserve">No pressed state on buttons</t>
  </si>
  <si>
    <t xml:space="preserve">1. Open /tickets on desktop
2. Click and hold "View details"</t>
  </si>
  <si>
    <t xml:space="preserve">Button visibly changes while pressed</t>
  </si>
  <si>
    <t xml:space="preserve">No change while held (Sprint 2 G-03 still open)</t>
  </si>
  <si>
    <t xml:space="preserve">Accepted as marginal by the BA, 18/10/2026</t>
  </si>
  <si>
    <t xml:space="preserve">Won't fix</t>
  </si>
  <si>
    <t xml:space="preserve">S3-27</t>
  </si>
  <si>
    <t xml:space="preserve">Compare page shifts sideways on mobile</t>
  </si>
  <si>
    <t xml:space="preserve">1. Chrome device mode, 375px
2. Select 3 tickets, open Compare
3. Scroll left</t>
  </si>
  <si>
    <t xml:space="preserve">Only the comparison area scrolls sideways; the page stays put</t>
  </si>
  <si>
    <t xml:space="preserve">The whole page moves slightly sideways</t>
  </si>
  <si>
    <t xml:space="preserve">S3-28</t>
  </si>
  <si>
    <t xml:space="preserve">S3-29</t>
  </si>
  <si>
    <t xml:space="preserve">S3-30</t>
  </si>
  <si>
    <t xml:space="preserve">S3-31</t>
  </si>
  <si>
    <t xml:space="preserve">S3-32</t>
  </si>
  <si>
    <t xml:space="preserve">S3-33</t>
  </si>
  <si>
    <t xml:space="preserve">S3-34</t>
  </si>
  <si>
    <t xml:space="preserve">S3-35</t>
  </si>
  <si>
    <t xml:space="preserve">S3-36</t>
  </si>
  <si>
    <t xml:space="preserve">S3-37</t>
  </si>
  <si>
    <t xml:space="preserve">S3-38</t>
  </si>
  <si>
    <t xml:space="preserve">S3-39</t>
  </si>
  <si>
    <t xml:space="preserve">S3-40</t>
  </si>
  <si>
    <t xml:space="preserve">S3-41</t>
  </si>
  <si>
    <t xml:space="preserve">S3-42</t>
  </si>
  <si>
    <t xml:space="preserve">S3-43</t>
  </si>
  <si>
    <t xml:space="preserve">S3-44</t>
  </si>
  <si>
    <t xml:space="preserve">S3-45</t>
  </si>
  <si>
    <t xml:space="preserve">S3-46</t>
  </si>
  <si>
    <t xml:space="preserve">S3-47</t>
  </si>
  <si>
    <t xml:space="preserve">S3-48</t>
  </si>
  <si>
    <t xml:space="preserve">S3-49</t>
  </si>
  <si>
    <t xml:space="preserve">S3-50</t>
  </si>
  <si>
    <t xml:space="preserve">Evidence screenshots</t>
  </si>
  <si>
    <t xml:space="preserve">S3-18 / S3-20: on 3G, /tickets shows only a spinner, and the header says "Welcome back, User" (18/10/2026)</t>
  </si>
  <si>
    <t xml:space="preserve">S3-19: cards appear with blank white boxes where the circuit map should be, while albert-park-circuit.png is still loading (18/10/2026)</t>
  </si>
  <si>
    <t xml:space="preserve">New front end on 3G (18/10/2026): skeleton cards (S3-18 closed), red palette (S3-17 closed), "GARAGE" logo (S3-21), "Your Name" / "Row 1 · Seat 1" placeholders (S3-10)</t>
  </si>
  <si>
    <t xml:space="preserve">S3-25: firestore.googleapis.com blocked in DevTools; /tickets shows an endless spinner with no message or Retry (18/10/2026)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</si>
</sst>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DB"/>
        <bgColor rgb="FFFEF3C7"/>
      </patternFill>
    </fill>
    <fill>
      <patternFill patternType="solid">
        <fgColor rgb="FFE5E7EB"/>
        <bgColor rgb="FFE0E7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2937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E0E7FF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D1FAE5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E0E7FF"/>
        </patternFill>
      </fill>
    </dxf>
    <dxf>
      <fill>
        <patternFill>
          <bgColor rgb="FFF3F4F6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>
          <bgColor rgb="FFFCA5A5"/>
        </patternFill>
      </fill>
    </dxf>
    <dxf>
      <fill>
        <patternFill>
          <bgColor rgb="FFFECACA"/>
        </patternFill>
      </fill>
    </dxf>
    <dxf>
      <fill>
        <patternFill>
          <bgColor rgb="FFE5E7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5E7EB"/>
      <rgbColor rgb="FF808080"/>
      <rgbColor rgb="FF9999FF"/>
      <rgbColor rgb="FF993366"/>
      <rgbColor rgb="FFFFF9DB"/>
      <rgbColor rgb="FFE0E7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EF3C7"/>
      <rgbColor rgb="FFFEE2E2"/>
      <rgbColor rgb="FFFCA5A5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</xdr:col>
      <xdr:colOff>111600</xdr:colOff>
      <xdr:row>32</xdr:row>
      <xdr:rowOff>45000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571680"/>
          <a:ext cx="8569800" cy="5569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</xdr:col>
      <xdr:colOff>111600</xdr:colOff>
      <xdr:row>65</xdr:row>
      <xdr:rowOff>44640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6858000"/>
          <a:ext cx="8569800" cy="5569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112320</xdr:colOff>
      <xdr:row>99</xdr:row>
      <xdr:rowOff>45360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13335120"/>
          <a:ext cx="8570520" cy="556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113400</xdr:colOff>
      <xdr:row>134</xdr:row>
      <xdr:rowOff>46800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20002680"/>
          <a:ext cx="8571600" cy="557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2"/>
  </cols>
  <sheetData>
    <row r="1" customFormat="false" ht="17.25" hidden="false" customHeight="true" outlineLevel="0" collapsed="false">
      <c r="A1" s="2" t="s">
        <v>0</v>
      </c>
    </row>
    <row r="2" customFormat="false" ht="42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5" t="n">
        <f aca="false">COUNTIFS('Regression Scenarios'!$B:$B,$A5,'Regression Scenarios'!$J:$J,"Pass")</f>
        <v>4</v>
      </c>
      <c r="C5" s="5" t="n">
        <f aca="false">COUNTIFS('Regression Scenarios'!$B:$B,$A5,'Regression Scenarios'!$J:$J,"Fail")</f>
        <v>0</v>
      </c>
      <c r="D5" s="5" t="n">
        <f aca="false">COUNTIFS('Regression Scenarios'!$B:$B,$A5,'Regression Scenarios'!$J:$J,"Blocked")</f>
        <v>0</v>
      </c>
      <c r="E5" s="5" t="n">
        <f aca="false">COUNTIFS('Regression Scenarios'!$B:$B,$A5,'Regression Scenarios'!$J:$J,"Not built")</f>
        <v>0</v>
      </c>
      <c r="F5" s="5" t="n">
        <f aca="false">COUNTIFS('Regression Scenarios'!$B:$B,$A5,'Regression Scenarios'!$J:$J,"Not tested")</f>
        <v>0</v>
      </c>
      <c r="G5" s="5" t="n">
        <f aca="false">SUM(B5:F5)</f>
        <v>4</v>
      </c>
    </row>
    <row r="6" customFormat="false" ht="15" hidden="false" customHeight="true" outlineLevel="0" collapsed="false">
      <c r="A6" s="5" t="s">
        <v>10</v>
      </c>
      <c r="B6" s="5" t="n">
        <f aca="false">COUNTIFS('Regression Scenarios'!$B:$B,$A6,'Regression Scenarios'!$J:$J,"Pass")</f>
        <v>4</v>
      </c>
      <c r="C6" s="5" t="n">
        <f aca="false">COUNTIFS('Regression Scenarios'!$B:$B,$A6,'Regression Scenarios'!$J:$J,"Fail")</f>
        <v>1</v>
      </c>
      <c r="D6" s="5" t="n">
        <f aca="false">COUNTIFS('Regression Scenarios'!$B:$B,$A6,'Regression Scenarios'!$J:$J,"Blocked")</f>
        <v>0</v>
      </c>
      <c r="E6" s="5" t="n">
        <f aca="false">COUNTIFS('Regression Scenarios'!$B:$B,$A6,'Regression Scenarios'!$J:$J,"Not built")</f>
        <v>3</v>
      </c>
      <c r="F6" s="5" t="n">
        <f aca="false">COUNTIFS('Regression Scenarios'!$B:$B,$A6,'Regression Scenarios'!$J:$J,"Not tested")</f>
        <v>0</v>
      </c>
      <c r="G6" s="5" t="n">
        <f aca="false">SUM(B6:F6)</f>
        <v>8</v>
      </c>
    </row>
    <row r="7" customFormat="false" ht="15" hidden="false" customHeight="true" outlineLevel="0" collapsed="false">
      <c r="A7" s="5" t="s">
        <v>11</v>
      </c>
      <c r="B7" s="5" t="n">
        <f aca="false">COUNTIFS('Regression Scenarios'!$B:$B,$A7,'Regression Scenarios'!$J:$J,"Pass")</f>
        <v>3</v>
      </c>
      <c r="C7" s="5" t="n">
        <f aca="false">COUNTIFS('Regression Scenarios'!$B:$B,$A7,'Regression Scenarios'!$J:$J,"Fail")</f>
        <v>2</v>
      </c>
      <c r="D7" s="5" t="n">
        <f aca="false">COUNTIFS('Regression Scenarios'!$B:$B,$A7,'Regression Scenarios'!$J:$J,"Blocked")</f>
        <v>1</v>
      </c>
      <c r="E7" s="5" t="n">
        <f aca="false">COUNTIFS('Regression Scenarios'!$B:$B,$A7,'Regression Scenarios'!$J:$J,"Not built")</f>
        <v>2</v>
      </c>
      <c r="F7" s="5" t="n">
        <f aca="false">COUNTIFS('Regression Scenarios'!$B:$B,$A7,'Regression Scenarios'!$J:$J,"Not tested")</f>
        <v>0</v>
      </c>
      <c r="G7" s="5" t="n">
        <f aca="false">SUM(B7:F7)</f>
        <v>8</v>
      </c>
    </row>
    <row r="8" customFormat="false" ht="15" hidden="false" customHeight="true" outlineLevel="0" collapsed="false">
      <c r="A8" s="5" t="s">
        <v>12</v>
      </c>
      <c r="B8" s="5" t="n">
        <f aca="false">COUNTIFS('Regression Scenarios'!$B:$B,$A8,'Regression Scenarios'!$J:$J,"Pass")</f>
        <v>7</v>
      </c>
      <c r="C8" s="5" t="n">
        <f aca="false">COUNTIFS('Regression Scenarios'!$B:$B,$A8,'Regression Scenarios'!$J:$J,"Fail")</f>
        <v>0</v>
      </c>
      <c r="D8" s="5" t="n">
        <f aca="false">COUNTIFS('Regression Scenarios'!$B:$B,$A8,'Regression Scenarios'!$J:$J,"Blocked")</f>
        <v>0</v>
      </c>
      <c r="E8" s="5" t="n">
        <f aca="false">COUNTIFS('Regression Scenarios'!$B:$B,$A8,'Regression Scenarios'!$J:$J,"Not built")</f>
        <v>1</v>
      </c>
      <c r="F8" s="5" t="n">
        <f aca="false">COUNTIFS('Regression Scenarios'!$B:$B,$A8,'Regression Scenarios'!$J:$J,"Not tested")</f>
        <v>0</v>
      </c>
      <c r="G8" s="5" t="n">
        <f aca="false">SUM(B8:F8)</f>
        <v>8</v>
      </c>
    </row>
    <row r="9" customFormat="false" ht="15" hidden="false" customHeight="true" outlineLevel="0" collapsed="false">
      <c r="A9" s="5" t="s">
        <v>13</v>
      </c>
      <c r="B9" s="5" t="n">
        <f aca="false">COUNTIFS('Regression Scenarios'!$B:$B,$A9,'Regression Scenarios'!$J:$J,"Pass")</f>
        <v>4</v>
      </c>
      <c r="C9" s="5" t="n">
        <f aca="false">COUNTIFS('Regression Scenarios'!$B:$B,$A9,'Regression Scenarios'!$J:$J,"Fail")</f>
        <v>1</v>
      </c>
      <c r="D9" s="5" t="n">
        <f aca="false">COUNTIFS('Regression Scenarios'!$B:$B,$A9,'Regression Scenarios'!$J:$J,"Blocked")</f>
        <v>0</v>
      </c>
      <c r="E9" s="5" t="n">
        <f aca="false">COUNTIFS('Regression Scenarios'!$B:$B,$A9,'Regression Scenarios'!$J:$J,"Not built")</f>
        <v>1</v>
      </c>
      <c r="F9" s="5" t="n">
        <f aca="false">COUNTIFS('Regression Scenarios'!$B:$B,$A9,'Regression Scenarios'!$J:$J,"Not tested")</f>
        <v>0</v>
      </c>
      <c r="G9" s="5" t="n">
        <f aca="false">SUM(B9:F9)</f>
        <v>6</v>
      </c>
    </row>
    <row r="10" customFormat="false" ht="15" hidden="false" customHeight="true" outlineLevel="0" collapsed="false">
      <c r="A10" s="5" t="s">
        <v>14</v>
      </c>
      <c r="B10" s="5" t="n">
        <f aca="false">COUNTIFS('Regression Scenarios'!$B:$B,$A10,'Regression Scenarios'!$J:$J,"Pass")</f>
        <v>1</v>
      </c>
      <c r="C10" s="5" t="n">
        <f aca="false">COUNTIFS('Regression Scenarios'!$B:$B,$A10,'Regression Scenarios'!$J:$J,"Fail")</f>
        <v>0</v>
      </c>
      <c r="D10" s="5" t="n">
        <f aca="false">COUNTIFS('Regression Scenarios'!$B:$B,$A10,'Regression Scenarios'!$J:$J,"Blocked")</f>
        <v>6</v>
      </c>
      <c r="E10" s="5" t="n">
        <f aca="false">COUNTIFS('Regression Scenarios'!$B:$B,$A10,'Regression Scenarios'!$J:$J,"Not built")</f>
        <v>0</v>
      </c>
      <c r="F10" s="5" t="n">
        <f aca="false">COUNTIFS('Regression Scenarios'!$B:$B,$A10,'Regression Scenarios'!$J:$J,"Not tested")</f>
        <v>0</v>
      </c>
      <c r="G10" s="5" t="n">
        <f aca="false">SUM(B10:F10)</f>
        <v>7</v>
      </c>
    </row>
    <row r="11" customFormat="false" ht="15" hidden="false" customHeight="true" outlineLevel="0" collapsed="false">
      <c r="A11" s="5" t="s">
        <v>15</v>
      </c>
      <c r="B11" s="5" t="n">
        <f aca="false">COUNTIFS('Regression Scenarios'!$B:$B,$A11,'Regression Scenarios'!$J:$J,"Pass")</f>
        <v>2</v>
      </c>
      <c r="C11" s="5" t="n">
        <f aca="false">COUNTIFS('Regression Scenarios'!$B:$B,$A11,'Regression Scenarios'!$J:$J,"Fail")</f>
        <v>2</v>
      </c>
      <c r="D11" s="5" t="n">
        <f aca="false">COUNTIFS('Regression Scenarios'!$B:$B,$A11,'Regression Scenarios'!$J:$J,"Blocked")</f>
        <v>2</v>
      </c>
      <c r="E11" s="5" t="n">
        <f aca="false">COUNTIFS('Regression Scenarios'!$B:$B,$A11,'Regression Scenarios'!$J:$J,"Not built")</f>
        <v>2</v>
      </c>
      <c r="F11" s="5" t="n">
        <f aca="false">COUNTIFS('Regression Scenarios'!$B:$B,$A11,'Regression Scenarios'!$J:$J,"Not tested")</f>
        <v>0</v>
      </c>
      <c r="G11" s="5" t="n">
        <f aca="false">SUM(B11:F11)</f>
        <v>8</v>
      </c>
    </row>
    <row r="12" customFormat="false" ht="15" hidden="false" customHeight="true" outlineLevel="0" collapsed="false">
      <c r="A12" s="5" t="s">
        <v>16</v>
      </c>
      <c r="B12" s="5" t="n">
        <f aca="false">COUNTIFS('Regression Scenarios'!$B:$B,$A12,'Regression Scenarios'!$J:$J,"Pass")</f>
        <v>4</v>
      </c>
      <c r="C12" s="5" t="n">
        <f aca="false">COUNTIFS('Regression Scenarios'!$B:$B,$A12,'Regression Scenarios'!$J:$J,"Fail")</f>
        <v>0</v>
      </c>
      <c r="D12" s="5" t="n">
        <f aca="false">COUNTIFS('Regression Scenarios'!$B:$B,$A12,'Regression Scenarios'!$J:$J,"Blocked")</f>
        <v>0</v>
      </c>
      <c r="E12" s="5" t="n">
        <f aca="false">COUNTIFS('Regression Scenarios'!$B:$B,$A12,'Regression Scenarios'!$J:$J,"Not built")</f>
        <v>0</v>
      </c>
      <c r="F12" s="5" t="n">
        <f aca="false">COUNTIFS('Regression Scenarios'!$B:$B,$A12,'Regression Scenarios'!$J:$J,"Not tested")</f>
        <v>0</v>
      </c>
      <c r="G12" s="5" t="n">
        <f aca="false">SUM(B12:F12)</f>
        <v>4</v>
      </c>
    </row>
    <row r="13" customFormat="false" ht="15" hidden="false" customHeight="true" outlineLevel="0" collapsed="false">
      <c r="A13" s="6" t="s">
        <v>8</v>
      </c>
      <c r="B13" s="6" t="n">
        <f aca="false">SUM(B5:B12)</f>
        <v>29</v>
      </c>
      <c r="C13" s="6" t="n">
        <f aca="false">SUM(C5:C12)</f>
        <v>6</v>
      </c>
      <c r="D13" s="6" t="n">
        <f aca="false">SUM(D5:D12)</f>
        <v>9</v>
      </c>
      <c r="E13" s="6" t="n">
        <f aca="false">SUM(E5:E12)</f>
        <v>9</v>
      </c>
      <c r="F13" s="6" t="n">
        <f aca="false">SUM(F5:F12)</f>
        <v>0</v>
      </c>
      <c r="G13" s="6" t="n">
        <f aca="false">SUM(G5:G12)</f>
        <v>53</v>
      </c>
    </row>
    <row r="14" customFormat="false" ht="15" hidden="false" customHeight="true" outlineLevel="0" collapsed="false">
      <c r="A14" s="6" t="s">
        <v>17</v>
      </c>
      <c r="B14" s="6"/>
      <c r="C14" s="6"/>
      <c r="D14" s="6"/>
      <c r="E14" s="6"/>
      <c r="F14" s="6"/>
      <c r="G14" s="7" t="n">
        <f aca="false">IF(G13-F13=0,0,B13/(G13-F13))</f>
        <v>0.547169811320755</v>
      </c>
    </row>
    <row r="16" customFormat="false" ht="15" hidden="false" customHeight="true" outlineLevel="0" collapsed="false">
      <c r="A16" s="4" t="s">
        <v>18</v>
      </c>
      <c r="B16" s="4" t="s">
        <v>3</v>
      </c>
      <c r="C16" s="4" t="s">
        <v>4</v>
      </c>
      <c r="D16" s="4" t="s">
        <v>19</v>
      </c>
      <c r="E16" s="4" t="s">
        <v>7</v>
      </c>
      <c r="F16" s="4"/>
      <c r="G16" s="4" t="s">
        <v>8</v>
      </c>
    </row>
    <row r="17" customFormat="false" ht="15" hidden="false" customHeight="true" outlineLevel="0" collapsed="false">
      <c r="A17" s="5" t="s">
        <v>20</v>
      </c>
      <c r="B17" s="5" t="n">
        <f aca="false">COUNTIF('Content Audit'!$G:$G,"Pass")</f>
        <v>28</v>
      </c>
      <c r="C17" s="5" t="n">
        <f aca="false">COUNTIF('Content Audit'!$G:$G,"Fail")</f>
        <v>23</v>
      </c>
      <c r="D17" s="5" t="n">
        <f aca="false">COUNTIF('Content Audit'!$G:$G,"N/A")</f>
        <v>0</v>
      </c>
      <c r="E17" s="5" t="n">
        <f aca="false">COUNTIF('Content Audit'!$G:$G,"Not tested")</f>
        <v>4</v>
      </c>
      <c r="F17" s="5"/>
      <c r="G17" s="5" t="n">
        <f aca="false">SUM(B17:E17)</f>
        <v>55</v>
      </c>
    </row>
    <row r="18" customFormat="false" ht="15" hidden="false" customHeight="true" outlineLevel="0" collapsed="false">
      <c r="A18" s="5" t="s">
        <v>21</v>
      </c>
      <c r="B18" s="5" t="n">
        <f aca="false">COUNTIF('Link Check'!$F:$F,"Yes")</f>
        <v>13</v>
      </c>
      <c r="C18" s="5" t="n">
        <f aca="false">COUNTIF('Link Check'!$F:$F,"No")</f>
        <v>3</v>
      </c>
      <c r="D18" s="5" t="n">
        <f aca="false">COUNTIF('Link Check'!$F:$F,"N/A")</f>
        <v>6</v>
      </c>
      <c r="E18" s="5"/>
      <c r="F18" s="5"/>
      <c r="G18" s="5" t="n">
        <f aca="false">SUM(B18:D18)</f>
        <v>22</v>
      </c>
    </row>
    <row r="20" customFormat="false" ht="15" hidden="false" customHeight="true" outlineLevel="0" collapsed="false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8</v>
      </c>
    </row>
    <row r="21" customFormat="false" ht="15" hidden="false" customHeight="true" outlineLevel="0" collapsed="false">
      <c r="A21" s="5" t="s">
        <v>28</v>
      </c>
      <c r="B21" s="5" t="n">
        <f aca="false">COUNTIF('Gap List'!$H$3:$H$52,"Critical")</f>
        <v>0</v>
      </c>
      <c r="C21" s="5" t="n">
        <f aca="false">COUNTIF('Gap List'!$H$3:$H$52,"High")</f>
        <v>4</v>
      </c>
      <c r="D21" s="5" t="n">
        <f aca="false">COUNTIF('Gap List'!$H$3:$H$52,"Medium")</f>
        <v>10</v>
      </c>
      <c r="E21" s="5" t="n">
        <f aca="false">COUNTIF('Gap List'!$H$3:$H$52,"Low")</f>
        <v>13</v>
      </c>
      <c r="F21" s="5" t="n">
        <f aca="false">COUNTIF('Gap List'!$K$3:$K$52,"Open")+COUNTIF('Gap List'!$K$3:$K$52,"In progress")</f>
        <v>19</v>
      </c>
      <c r="G21" s="5" t="n">
        <f aca="false">SUM(B21:E21)</f>
        <v>27</v>
      </c>
    </row>
    <row r="23" customFormat="false" ht="15" hidden="false" customHeight="true" outlineLevel="0" collapsed="false">
      <c r="A23" s="8" t="s">
        <v>29</v>
      </c>
    </row>
    <row r="24" customFormat="false" ht="15" hidden="false" customHeight="true" outlineLevel="0" collapsed="false">
      <c r="A24" s="9" t="s">
        <v>30</v>
      </c>
    </row>
    <row r="25" customFormat="false" ht="15" hidden="false" customHeight="true" outlineLevel="0" collapsed="false">
      <c r="A25" s="10" t="s">
        <v>31</v>
      </c>
    </row>
    <row r="26" customFormat="false" ht="15" hidden="false" customHeight="true" outlineLevel="0" collapsed="false">
      <c r="A26" s="10" t="s">
        <v>32</v>
      </c>
    </row>
    <row r="27" customFormat="false" ht="15" hidden="false" customHeight="true" outlineLevel="0" collapsed="false">
      <c r="A27" s="10" t="s">
        <v>33</v>
      </c>
    </row>
    <row r="28" customFormat="false" ht="15" hidden="false" customHeight="true" outlineLevel="0" collapsed="false">
      <c r="A28" s="10" t="s">
        <v>34</v>
      </c>
    </row>
    <row r="29" customFormat="false" ht="15" hidden="false" customHeight="true" outlineLevel="0" collapsed="false">
      <c r="A29" s="10" t="s">
        <v>35</v>
      </c>
    </row>
    <row r="30" customFormat="false" ht="15" hidden="false" customHeight="true" outlineLevel="0" collapsed="false">
      <c r="A30" s="10" t="s">
        <v>36</v>
      </c>
    </row>
    <row r="31" customFormat="false" ht="15" hidden="false" customHeight="true" outlineLevel="0" collapsed="false">
      <c r="A31" s="10" t="s">
        <v>37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8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7" min="6" style="1" width="28"/>
    <col collapsed="false" customWidth="true" hidden="false" outlineLevel="0" max="8" min="8" style="1" width="38"/>
    <col collapsed="false" customWidth="true" hidden="false" outlineLevel="0" max="9" min="9" style="1" width="30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2" min="12" style="1" width="11"/>
    <col collapsed="false" customWidth="true" hidden="false" outlineLevel="0" max="13" min="13" style="1" width="22"/>
  </cols>
  <sheetData>
    <row r="1" customFormat="false" ht="30" hidden="false" customHeight="true" outlineLevel="0" collapsed="false">
      <c r="A1" s="11" t="s">
        <v>38</v>
      </c>
      <c r="B1" s="11" t="s">
        <v>39</v>
      </c>
      <c r="C1" s="11" t="s">
        <v>40</v>
      </c>
      <c r="D1" s="11" t="s">
        <v>41</v>
      </c>
      <c r="E1" s="11" t="s">
        <v>42</v>
      </c>
      <c r="F1" s="11" t="s">
        <v>43</v>
      </c>
      <c r="G1" s="11" t="s">
        <v>44</v>
      </c>
      <c r="H1" s="11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</row>
    <row r="2" customFormat="false" ht="15" hidden="false" customHeight="true" outlineLevel="0" collapsed="false">
      <c r="A2" s="12" t="s">
        <v>51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customFormat="false" ht="23.25" hidden="false" customHeight="true" outlineLevel="0" collapsed="false">
      <c r="A3" s="14" t="s">
        <v>52</v>
      </c>
      <c r="B3" s="14" t="s">
        <v>9</v>
      </c>
      <c r="C3" s="14" t="s">
        <v>53</v>
      </c>
      <c r="D3" s="14" t="s">
        <v>54</v>
      </c>
      <c r="E3" s="14" t="s">
        <v>55</v>
      </c>
      <c r="F3" s="14" t="s">
        <v>56</v>
      </c>
      <c r="G3" s="14" t="s">
        <v>57</v>
      </c>
      <c r="H3" s="14" t="s">
        <v>58</v>
      </c>
      <c r="I3" s="15" t="s">
        <v>59</v>
      </c>
      <c r="J3" s="15" t="s">
        <v>3</v>
      </c>
      <c r="K3" s="15"/>
      <c r="L3" s="15" t="s">
        <v>60</v>
      </c>
      <c r="M3" s="15"/>
    </row>
    <row r="4" customFormat="false" ht="23.25" hidden="false" customHeight="true" outlineLevel="0" collapsed="false">
      <c r="A4" s="14" t="s">
        <v>61</v>
      </c>
      <c r="B4" s="14" t="s">
        <v>9</v>
      </c>
      <c r="C4" s="14" t="s">
        <v>53</v>
      </c>
      <c r="D4" s="14" t="s">
        <v>54</v>
      </c>
      <c r="E4" s="14" t="s">
        <v>62</v>
      </c>
      <c r="F4" s="14" t="s">
        <v>63</v>
      </c>
      <c r="G4" s="14" t="s">
        <v>64</v>
      </c>
      <c r="H4" s="14" t="s">
        <v>65</v>
      </c>
      <c r="I4" s="15" t="s">
        <v>66</v>
      </c>
      <c r="J4" s="15" t="s">
        <v>3</v>
      </c>
      <c r="K4" s="15"/>
      <c r="L4" s="15" t="s">
        <v>60</v>
      </c>
      <c r="M4" s="15"/>
    </row>
    <row r="5" customFormat="false" ht="23.25" hidden="false" customHeight="true" outlineLevel="0" collapsed="false">
      <c r="A5" s="14" t="s">
        <v>67</v>
      </c>
      <c r="B5" s="14" t="s">
        <v>9</v>
      </c>
      <c r="C5" s="14" t="s">
        <v>68</v>
      </c>
      <c r="D5" s="14" t="s">
        <v>69</v>
      </c>
      <c r="E5" s="14" t="s">
        <v>70</v>
      </c>
      <c r="F5" s="14" t="s">
        <v>71</v>
      </c>
      <c r="G5" s="14" t="s">
        <v>72</v>
      </c>
      <c r="H5" s="14" t="s">
        <v>73</v>
      </c>
      <c r="I5" s="15" t="s">
        <v>74</v>
      </c>
      <c r="J5" s="15" t="s">
        <v>3</v>
      </c>
      <c r="K5" s="15"/>
      <c r="L5" s="15" t="s">
        <v>60</v>
      </c>
      <c r="M5" s="15" t="s">
        <v>75</v>
      </c>
    </row>
    <row r="6" customFormat="false" ht="23.25" hidden="false" customHeight="true" outlineLevel="0" collapsed="false">
      <c r="A6" s="14" t="s">
        <v>76</v>
      </c>
      <c r="B6" s="14" t="s">
        <v>9</v>
      </c>
      <c r="C6" s="14" t="s">
        <v>68</v>
      </c>
      <c r="D6" s="14" t="s">
        <v>77</v>
      </c>
      <c r="E6" s="14" t="s">
        <v>78</v>
      </c>
      <c r="F6" s="14" t="s">
        <v>79</v>
      </c>
      <c r="G6" s="14" t="s">
        <v>80</v>
      </c>
      <c r="H6" s="14" t="s">
        <v>81</v>
      </c>
      <c r="I6" s="15" t="s">
        <v>82</v>
      </c>
      <c r="J6" s="15" t="s">
        <v>3</v>
      </c>
      <c r="K6" s="15"/>
      <c r="L6" s="15" t="s">
        <v>60</v>
      </c>
      <c r="M6" s="15"/>
    </row>
    <row r="7" customFormat="false" ht="15" hidden="false" customHeight="true" outlineLevel="0" collapsed="false">
      <c r="A7" s="12" t="s">
        <v>83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customFormat="false" ht="23.25" hidden="false" customHeight="true" outlineLevel="0" collapsed="false">
      <c r="A8" s="14" t="s">
        <v>84</v>
      </c>
      <c r="B8" s="14" t="s">
        <v>10</v>
      </c>
      <c r="C8" s="14" t="s">
        <v>53</v>
      </c>
      <c r="D8" s="14" t="s">
        <v>54</v>
      </c>
      <c r="E8" s="14" t="s">
        <v>85</v>
      </c>
      <c r="F8" s="14" t="s">
        <v>86</v>
      </c>
      <c r="G8" s="14" t="s">
        <v>87</v>
      </c>
      <c r="H8" s="14" t="s">
        <v>88</v>
      </c>
      <c r="I8" s="15" t="s">
        <v>89</v>
      </c>
      <c r="J8" s="15" t="s">
        <v>3</v>
      </c>
      <c r="K8" s="15"/>
      <c r="L8" s="15" t="s">
        <v>60</v>
      </c>
      <c r="M8" s="15"/>
    </row>
    <row r="9" customFormat="false" ht="34.5" hidden="false" customHeight="true" outlineLevel="0" collapsed="false">
      <c r="A9" s="14" t="s">
        <v>90</v>
      </c>
      <c r="B9" s="14" t="s">
        <v>10</v>
      </c>
      <c r="C9" s="14" t="s">
        <v>53</v>
      </c>
      <c r="D9" s="14" t="s">
        <v>91</v>
      </c>
      <c r="E9" s="14" t="s">
        <v>92</v>
      </c>
      <c r="F9" s="14" t="s">
        <v>86</v>
      </c>
      <c r="G9" s="14" t="s">
        <v>93</v>
      </c>
      <c r="H9" s="14" t="s">
        <v>94</v>
      </c>
      <c r="I9" s="15" t="s">
        <v>95</v>
      </c>
      <c r="J9" s="15" t="s">
        <v>4</v>
      </c>
      <c r="K9" s="15" t="s">
        <v>96</v>
      </c>
      <c r="L9" s="15" t="s">
        <v>60</v>
      </c>
      <c r="M9" s="15" t="s">
        <v>97</v>
      </c>
    </row>
    <row r="10" customFormat="false" ht="23.25" hidden="false" customHeight="true" outlineLevel="0" collapsed="false">
      <c r="A10" s="14" t="s">
        <v>98</v>
      </c>
      <c r="B10" s="14" t="s">
        <v>10</v>
      </c>
      <c r="C10" s="14" t="s">
        <v>53</v>
      </c>
      <c r="D10" s="14" t="s">
        <v>99</v>
      </c>
      <c r="E10" s="14" t="s">
        <v>100</v>
      </c>
      <c r="F10" s="14" t="s">
        <v>101</v>
      </c>
      <c r="G10" s="14" t="s">
        <v>87</v>
      </c>
      <c r="H10" s="14" t="s">
        <v>102</v>
      </c>
      <c r="I10" s="15" t="s">
        <v>103</v>
      </c>
      <c r="J10" s="15" t="s">
        <v>3</v>
      </c>
      <c r="K10" s="15"/>
      <c r="L10" s="15" t="s">
        <v>60</v>
      </c>
      <c r="M10" s="15" t="s">
        <v>104</v>
      </c>
    </row>
    <row r="11" customFormat="false" ht="23.25" hidden="false" customHeight="true" outlineLevel="0" collapsed="false">
      <c r="A11" s="14" t="s">
        <v>105</v>
      </c>
      <c r="B11" s="14" t="s">
        <v>10</v>
      </c>
      <c r="C11" s="14" t="s">
        <v>68</v>
      </c>
      <c r="D11" s="14" t="s">
        <v>106</v>
      </c>
      <c r="E11" s="14" t="s">
        <v>107</v>
      </c>
      <c r="F11" s="14" t="s">
        <v>108</v>
      </c>
      <c r="G11" s="14" t="s">
        <v>109</v>
      </c>
      <c r="H11" s="14" t="s">
        <v>110</v>
      </c>
      <c r="I11" s="15" t="s">
        <v>111</v>
      </c>
      <c r="J11" s="15" t="s">
        <v>6</v>
      </c>
      <c r="K11" s="15" t="s">
        <v>112</v>
      </c>
      <c r="L11" s="15" t="s">
        <v>60</v>
      </c>
      <c r="M11" s="15" t="s">
        <v>113</v>
      </c>
    </row>
    <row r="12" customFormat="false" ht="23.25" hidden="false" customHeight="true" outlineLevel="0" collapsed="false">
      <c r="A12" s="14" t="s">
        <v>114</v>
      </c>
      <c r="B12" s="14" t="s">
        <v>10</v>
      </c>
      <c r="C12" s="14" t="s">
        <v>68</v>
      </c>
      <c r="D12" s="14" t="s">
        <v>106</v>
      </c>
      <c r="E12" s="14" t="s">
        <v>115</v>
      </c>
      <c r="F12" s="14" t="s">
        <v>116</v>
      </c>
      <c r="G12" s="14" t="s">
        <v>109</v>
      </c>
      <c r="H12" s="14" t="s">
        <v>117</v>
      </c>
      <c r="I12" s="15" t="s">
        <v>118</v>
      </c>
      <c r="J12" s="15" t="s">
        <v>6</v>
      </c>
      <c r="K12" s="15" t="s">
        <v>112</v>
      </c>
      <c r="L12" s="15" t="s">
        <v>60</v>
      </c>
      <c r="M12" s="15"/>
    </row>
    <row r="13" customFormat="false" ht="23.25" hidden="false" customHeight="true" outlineLevel="0" collapsed="false">
      <c r="A13" s="14" t="s">
        <v>119</v>
      </c>
      <c r="B13" s="14" t="s">
        <v>10</v>
      </c>
      <c r="C13" s="14" t="s">
        <v>68</v>
      </c>
      <c r="D13" s="14" t="s">
        <v>120</v>
      </c>
      <c r="E13" s="14" t="s">
        <v>121</v>
      </c>
      <c r="F13" s="14" t="s">
        <v>122</v>
      </c>
      <c r="G13" s="14" t="s">
        <v>109</v>
      </c>
      <c r="H13" s="14" t="s">
        <v>123</v>
      </c>
      <c r="I13" s="15" t="s">
        <v>124</v>
      </c>
      <c r="J13" s="15" t="s">
        <v>6</v>
      </c>
      <c r="K13" s="15" t="s">
        <v>125</v>
      </c>
      <c r="L13" s="15" t="s">
        <v>60</v>
      </c>
      <c r="M13" s="15" t="s">
        <v>126</v>
      </c>
    </row>
    <row r="14" customFormat="false" ht="23.25" hidden="false" customHeight="true" outlineLevel="0" collapsed="false">
      <c r="A14" s="14" t="s">
        <v>127</v>
      </c>
      <c r="B14" s="14" t="s">
        <v>10</v>
      </c>
      <c r="C14" s="14" t="s">
        <v>68</v>
      </c>
      <c r="D14" s="14" t="s">
        <v>128</v>
      </c>
      <c r="E14" s="14" t="s">
        <v>129</v>
      </c>
      <c r="F14" s="14" t="s">
        <v>130</v>
      </c>
      <c r="G14" s="14" t="s">
        <v>87</v>
      </c>
      <c r="H14" s="14" t="s">
        <v>131</v>
      </c>
      <c r="I14" s="15" t="s">
        <v>132</v>
      </c>
      <c r="J14" s="15" t="s">
        <v>3</v>
      </c>
      <c r="K14" s="15"/>
      <c r="L14" s="15" t="s">
        <v>60</v>
      </c>
      <c r="M14" s="15" t="s">
        <v>133</v>
      </c>
    </row>
    <row r="15" customFormat="false" ht="23.25" hidden="false" customHeight="true" outlineLevel="0" collapsed="false">
      <c r="A15" s="14" t="s">
        <v>134</v>
      </c>
      <c r="B15" s="14" t="s">
        <v>10</v>
      </c>
      <c r="C15" s="14" t="s">
        <v>135</v>
      </c>
      <c r="D15" s="14" t="s">
        <v>136</v>
      </c>
      <c r="E15" s="14" t="s">
        <v>137</v>
      </c>
      <c r="F15" s="14" t="s">
        <v>138</v>
      </c>
      <c r="G15" s="14" t="s">
        <v>139</v>
      </c>
      <c r="H15" s="14" t="s">
        <v>140</v>
      </c>
      <c r="I15" s="15" t="s">
        <v>141</v>
      </c>
      <c r="J15" s="15" t="s">
        <v>3</v>
      </c>
      <c r="K15" s="15"/>
      <c r="L15" s="15" t="s">
        <v>60</v>
      </c>
      <c r="M15" s="15" t="s">
        <v>142</v>
      </c>
    </row>
    <row r="16" customFormat="false" ht="15" hidden="false" customHeight="true" outlineLevel="0" collapsed="false">
      <c r="A16" s="12" t="s">
        <v>143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customFormat="false" ht="23.25" hidden="false" customHeight="true" outlineLevel="0" collapsed="false">
      <c r="A17" s="14" t="s">
        <v>144</v>
      </c>
      <c r="B17" s="14" t="s">
        <v>11</v>
      </c>
      <c r="C17" s="14" t="s">
        <v>53</v>
      </c>
      <c r="D17" s="14" t="s">
        <v>145</v>
      </c>
      <c r="E17" s="14" t="s">
        <v>146</v>
      </c>
      <c r="F17" s="14" t="s">
        <v>147</v>
      </c>
      <c r="G17" s="14" t="s">
        <v>148</v>
      </c>
      <c r="H17" s="14" t="s">
        <v>149</v>
      </c>
      <c r="I17" s="15" t="s">
        <v>150</v>
      </c>
      <c r="J17" s="15" t="s">
        <v>3</v>
      </c>
      <c r="K17" s="15"/>
      <c r="L17" s="15" t="s">
        <v>60</v>
      </c>
      <c r="M17" s="15"/>
    </row>
    <row r="18" customFormat="false" ht="23.25" hidden="false" customHeight="true" outlineLevel="0" collapsed="false">
      <c r="A18" s="14" t="s">
        <v>151</v>
      </c>
      <c r="B18" s="14" t="s">
        <v>11</v>
      </c>
      <c r="C18" s="14" t="s">
        <v>53</v>
      </c>
      <c r="D18" s="14" t="s">
        <v>152</v>
      </c>
      <c r="E18" s="14" t="s">
        <v>153</v>
      </c>
      <c r="F18" s="14" t="s">
        <v>154</v>
      </c>
      <c r="G18" s="14" t="s">
        <v>155</v>
      </c>
      <c r="H18" s="14" t="s">
        <v>156</v>
      </c>
      <c r="I18" s="15" t="s">
        <v>157</v>
      </c>
      <c r="J18" s="15" t="s">
        <v>4</v>
      </c>
      <c r="K18" s="15" t="s">
        <v>158</v>
      </c>
      <c r="L18" s="15" t="s">
        <v>60</v>
      </c>
      <c r="M18" s="15" t="s">
        <v>159</v>
      </c>
    </row>
    <row r="19" customFormat="false" ht="23.25" hidden="false" customHeight="true" outlineLevel="0" collapsed="false">
      <c r="A19" s="14" t="s">
        <v>160</v>
      </c>
      <c r="B19" s="14" t="s">
        <v>11</v>
      </c>
      <c r="C19" s="14" t="s">
        <v>53</v>
      </c>
      <c r="D19" s="14" t="s">
        <v>161</v>
      </c>
      <c r="E19" s="14" t="s">
        <v>162</v>
      </c>
      <c r="F19" s="14" t="s">
        <v>163</v>
      </c>
      <c r="G19" s="14" t="s">
        <v>164</v>
      </c>
      <c r="H19" s="14" t="s">
        <v>165</v>
      </c>
      <c r="I19" s="15" t="s">
        <v>166</v>
      </c>
      <c r="J19" s="15" t="s">
        <v>4</v>
      </c>
      <c r="K19" s="15" t="s">
        <v>167</v>
      </c>
      <c r="L19" s="15" t="s">
        <v>60</v>
      </c>
      <c r="M19" s="15"/>
    </row>
    <row r="20" customFormat="false" ht="23.25" hidden="false" customHeight="true" outlineLevel="0" collapsed="false">
      <c r="A20" s="14" t="s">
        <v>168</v>
      </c>
      <c r="B20" s="14" t="s">
        <v>11</v>
      </c>
      <c r="C20" s="14" t="s">
        <v>68</v>
      </c>
      <c r="D20" s="14" t="s">
        <v>169</v>
      </c>
      <c r="E20" s="14" t="s">
        <v>170</v>
      </c>
      <c r="F20" s="14" t="s">
        <v>163</v>
      </c>
      <c r="G20" s="14" t="s">
        <v>171</v>
      </c>
      <c r="H20" s="14" t="s">
        <v>172</v>
      </c>
      <c r="I20" s="15" t="s">
        <v>173</v>
      </c>
      <c r="J20" s="15" t="s">
        <v>3</v>
      </c>
      <c r="K20" s="15"/>
      <c r="L20" s="15" t="s">
        <v>60</v>
      </c>
      <c r="M20" s="15"/>
    </row>
    <row r="21" customFormat="false" ht="23.25" hidden="false" customHeight="true" outlineLevel="0" collapsed="false">
      <c r="A21" s="14" t="s">
        <v>174</v>
      </c>
      <c r="B21" s="14" t="s">
        <v>11</v>
      </c>
      <c r="C21" s="14" t="s">
        <v>68</v>
      </c>
      <c r="D21" s="14" t="s">
        <v>175</v>
      </c>
      <c r="E21" s="14" t="s">
        <v>176</v>
      </c>
      <c r="F21" s="14" t="s">
        <v>177</v>
      </c>
      <c r="G21" s="14" t="s">
        <v>178</v>
      </c>
      <c r="H21" s="14" t="s">
        <v>179</v>
      </c>
      <c r="I21" s="15" t="s">
        <v>180</v>
      </c>
      <c r="J21" s="15" t="s">
        <v>5</v>
      </c>
      <c r="K21" s="15"/>
      <c r="L21" s="15" t="s">
        <v>60</v>
      </c>
      <c r="M21" s="15" t="s">
        <v>181</v>
      </c>
    </row>
    <row r="22" customFormat="false" ht="23.25" hidden="false" customHeight="true" outlineLevel="0" collapsed="false">
      <c r="A22" s="14" t="s">
        <v>182</v>
      </c>
      <c r="B22" s="14" t="s">
        <v>11</v>
      </c>
      <c r="C22" s="14" t="s">
        <v>53</v>
      </c>
      <c r="D22" s="14" t="s">
        <v>183</v>
      </c>
      <c r="E22" s="14" t="s">
        <v>184</v>
      </c>
      <c r="F22" s="14" t="s">
        <v>185</v>
      </c>
      <c r="G22" s="14" t="s">
        <v>186</v>
      </c>
      <c r="H22" s="14" t="s">
        <v>187</v>
      </c>
      <c r="I22" s="15" t="s">
        <v>188</v>
      </c>
      <c r="J22" s="15" t="s">
        <v>6</v>
      </c>
      <c r="K22" s="15" t="s">
        <v>189</v>
      </c>
      <c r="L22" s="15" t="s">
        <v>60</v>
      </c>
      <c r="M22" s="15" t="s">
        <v>190</v>
      </c>
    </row>
    <row r="23" customFormat="false" ht="15" hidden="false" customHeight="true" outlineLevel="0" collapsed="false">
      <c r="A23" s="14" t="s">
        <v>191</v>
      </c>
      <c r="B23" s="14" t="s">
        <v>11</v>
      </c>
      <c r="C23" s="14" t="s">
        <v>68</v>
      </c>
      <c r="D23" s="14" t="s">
        <v>192</v>
      </c>
      <c r="E23" s="14" t="s">
        <v>193</v>
      </c>
      <c r="F23" s="14" t="s">
        <v>194</v>
      </c>
      <c r="G23" s="14" t="s">
        <v>195</v>
      </c>
      <c r="H23" s="14" t="s">
        <v>196</v>
      </c>
      <c r="I23" s="15" t="s">
        <v>197</v>
      </c>
      <c r="J23" s="15" t="s">
        <v>6</v>
      </c>
      <c r="K23" s="15" t="s">
        <v>189</v>
      </c>
      <c r="L23" s="15" t="s">
        <v>60</v>
      </c>
      <c r="M23" s="15"/>
    </row>
    <row r="24" customFormat="false" ht="23.25" hidden="false" customHeight="true" outlineLevel="0" collapsed="false">
      <c r="A24" s="14" t="s">
        <v>198</v>
      </c>
      <c r="B24" s="14" t="s">
        <v>11</v>
      </c>
      <c r="C24" s="14" t="s">
        <v>68</v>
      </c>
      <c r="D24" s="14" t="s">
        <v>199</v>
      </c>
      <c r="E24" s="14" t="s">
        <v>200</v>
      </c>
      <c r="F24" s="14" t="s">
        <v>201</v>
      </c>
      <c r="G24" s="14" t="s">
        <v>202</v>
      </c>
      <c r="H24" s="14" t="s">
        <v>203</v>
      </c>
      <c r="I24" s="15" t="s">
        <v>204</v>
      </c>
      <c r="J24" s="15" t="s">
        <v>3</v>
      </c>
      <c r="K24" s="15"/>
      <c r="L24" s="15" t="s">
        <v>60</v>
      </c>
      <c r="M24" s="15"/>
    </row>
    <row r="25" customFormat="false" ht="15" hidden="false" customHeight="true" outlineLevel="0" collapsed="false">
      <c r="A25" s="12" t="s">
        <v>205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customFormat="false" ht="23.25" hidden="false" customHeight="true" outlineLevel="0" collapsed="false">
      <c r="A26" s="14" t="s">
        <v>206</v>
      </c>
      <c r="B26" s="14" t="s">
        <v>12</v>
      </c>
      <c r="C26" s="14" t="s">
        <v>53</v>
      </c>
      <c r="D26" s="14" t="s">
        <v>207</v>
      </c>
      <c r="E26" s="14" t="s">
        <v>208</v>
      </c>
      <c r="F26" s="14" t="s">
        <v>147</v>
      </c>
      <c r="G26" s="14" t="s">
        <v>209</v>
      </c>
      <c r="H26" s="14" t="s">
        <v>210</v>
      </c>
      <c r="I26" s="15" t="s">
        <v>211</v>
      </c>
      <c r="J26" s="15" t="s">
        <v>3</v>
      </c>
      <c r="K26" s="15"/>
      <c r="L26" s="15" t="s">
        <v>60</v>
      </c>
      <c r="M26" s="15" t="s">
        <v>212</v>
      </c>
    </row>
    <row r="27" customFormat="false" ht="23.25" hidden="false" customHeight="true" outlineLevel="0" collapsed="false">
      <c r="A27" s="14" t="s">
        <v>213</v>
      </c>
      <c r="B27" s="14" t="s">
        <v>12</v>
      </c>
      <c r="C27" s="14" t="s">
        <v>53</v>
      </c>
      <c r="D27" s="14" t="s">
        <v>207</v>
      </c>
      <c r="E27" s="14" t="s">
        <v>214</v>
      </c>
      <c r="F27" s="14" t="s">
        <v>215</v>
      </c>
      <c r="G27" s="14" t="s">
        <v>216</v>
      </c>
      <c r="H27" s="14" t="s">
        <v>217</v>
      </c>
      <c r="I27" s="15" t="s">
        <v>218</v>
      </c>
      <c r="J27" s="15" t="s">
        <v>3</v>
      </c>
      <c r="K27" s="15"/>
      <c r="L27" s="15" t="s">
        <v>60</v>
      </c>
      <c r="M27" s="15"/>
    </row>
    <row r="28" customFormat="false" ht="23.25" hidden="false" customHeight="true" outlineLevel="0" collapsed="false">
      <c r="A28" s="14" t="s">
        <v>219</v>
      </c>
      <c r="B28" s="14" t="s">
        <v>12</v>
      </c>
      <c r="C28" s="14" t="s">
        <v>53</v>
      </c>
      <c r="D28" s="14" t="s">
        <v>220</v>
      </c>
      <c r="E28" s="14" t="s">
        <v>221</v>
      </c>
      <c r="F28" s="14" t="s">
        <v>222</v>
      </c>
      <c r="G28" s="14" t="s">
        <v>223</v>
      </c>
      <c r="H28" s="14" t="s">
        <v>224</v>
      </c>
      <c r="I28" s="15" t="s">
        <v>225</v>
      </c>
      <c r="J28" s="15" t="s">
        <v>3</v>
      </c>
      <c r="K28" s="15"/>
      <c r="L28" s="15" t="s">
        <v>60</v>
      </c>
      <c r="M28" s="15"/>
    </row>
    <row r="29" customFormat="false" ht="23.25" hidden="false" customHeight="true" outlineLevel="0" collapsed="false">
      <c r="A29" s="14" t="s">
        <v>226</v>
      </c>
      <c r="B29" s="14" t="s">
        <v>12</v>
      </c>
      <c r="C29" s="14" t="s">
        <v>68</v>
      </c>
      <c r="D29" s="14" t="s">
        <v>207</v>
      </c>
      <c r="E29" s="14" t="s">
        <v>227</v>
      </c>
      <c r="F29" s="14" t="s">
        <v>228</v>
      </c>
      <c r="G29" s="14" t="s">
        <v>229</v>
      </c>
      <c r="H29" s="14" t="s">
        <v>230</v>
      </c>
      <c r="I29" s="15" t="s">
        <v>231</v>
      </c>
      <c r="J29" s="15" t="s">
        <v>3</v>
      </c>
      <c r="K29" s="15"/>
      <c r="L29" s="15" t="s">
        <v>60</v>
      </c>
      <c r="M29" s="15"/>
    </row>
    <row r="30" customFormat="false" ht="23.25" hidden="false" customHeight="true" outlineLevel="0" collapsed="false">
      <c r="A30" s="14" t="s">
        <v>232</v>
      </c>
      <c r="B30" s="14" t="s">
        <v>12</v>
      </c>
      <c r="C30" s="14" t="s">
        <v>68</v>
      </c>
      <c r="D30" s="14" t="s">
        <v>207</v>
      </c>
      <c r="E30" s="14" t="s">
        <v>233</v>
      </c>
      <c r="F30" s="14" t="s">
        <v>234</v>
      </c>
      <c r="G30" s="14" t="s">
        <v>235</v>
      </c>
      <c r="H30" s="14" t="s">
        <v>236</v>
      </c>
      <c r="I30" s="15" t="s">
        <v>237</v>
      </c>
      <c r="J30" s="15" t="s">
        <v>3</v>
      </c>
      <c r="K30" s="15"/>
      <c r="L30" s="15" t="s">
        <v>60</v>
      </c>
      <c r="M30" s="15"/>
    </row>
    <row r="31" customFormat="false" ht="34.5" hidden="false" customHeight="true" outlineLevel="0" collapsed="false">
      <c r="A31" s="14" t="s">
        <v>238</v>
      </c>
      <c r="B31" s="14" t="s">
        <v>12</v>
      </c>
      <c r="C31" s="14" t="s">
        <v>68</v>
      </c>
      <c r="D31" s="14" t="s">
        <v>207</v>
      </c>
      <c r="E31" s="14" t="s">
        <v>239</v>
      </c>
      <c r="F31" s="14" t="s">
        <v>240</v>
      </c>
      <c r="G31" s="14" t="s">
        <v>241</v>
      </c>
      <c r="H31" s="14" t="s">
        <v>242</v>
      </c>
      <c r="I31" s="15" t="s">
        <v>243</v>
      </c>
      <c r="J31" s="15" t="s">
        <v>6</v>
      </c>
      <c r="K31" s="15" t="s">
        <v>112</v>
      </c>
      <c r="L31" s="15" t="s">
        <v>60</v>
      </c>
      <c r="M31" s="15"/>
    </row>
    <row r="32" customFormat="false" ht="23.25" hidden="false" customHeight="true" outlineLevel="0" collapsed="false">
      <c r="A32" s="14" t="s">
        <v>244</v>
      </c>
      <c r="B32" s="14" t="s">
        <v>12</v>
      </c>
      <c r="C32" s="14" t="s">
        <v>68</v>
      </c>
      <c r="D32" s="14" t="s">
        <v>207</v>
      </c>
      <c r="E32" s="14" t="s">
        <v>245</v>
      </c>
      <c r="F32" s="14" t="s">
        <v>228</v>
      </c>
      <c r="G32" s="14" t="s">
        <v>246</v>
      </c>
      <c r="H32" s="14" t="s">
        <v>247</v>
      </c>
      <c r="I32" s="15" t="s">
        <v>248</v>
      </c>
      <c r="J32" s="15" t="s">
        <v>3</v>
      </c>
      <c r="K32" s="15" t="s">
        <v>249</v>
      </c>
      <c r="L32" s="15" t="s">
        <v>60</v>
      </c>
      <c r="M32" s="15" t="s">
        <v>250</v>
      </c>
    </row>
    <row r="33" customFormat="false" ht="15" hidden="false" customHeight="true" outlineLevel="0" collapsed="false">
      <c r="A33" s="14" t="s">
        <v>251</v>
      </c>
      <c r="B33" s="14" t="s">
        <v>12</v>
      </c>
      <c r="C33" s="14" t="s">
        <v>135</v>
      </c>
      <c r="D33" s="14" t="s">
        <v>207</v>
      </c>
      <c r="E33" s="14" t="s">
        <v>252</v>
      </c>
      <c r="F33" s="14" t="s">
        <v>253</v>
      </c>
      <c r="G33" s="14" t="s">
        <v>254</v>
      </c>
      <c r="H33" s="14" t="s">
        <v>255</v>
      </c>
      <c r="I33" s="15" t="s">
        <v>256</v>
      </c>
      <c r="J33" s="15" t="s">
        <v>3</v>
      </c>
      <c r="K33" s="15"/>
      <c r="L33" s="15" t="s">
        <v>60</v>
      </c>
      <c r="M33" s="15"/>
    </row>
    <row r="34" customFormat="false" ht="15" hidden="false" customHeight="true" outlineLevel="0" collapsed="false">
      <c r="A34" s="12" t="s">
        <v>257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</row>
    <row r="35" customFormat="false" ht="23.25" hidden="false" customHeight="true" outlineLevel="0" collapsed="false">
      <c r="A35" s="14" t="s">
        <v>258</v>
      </c>
      <c r="B35" s="14" t="s">
        <v>13</v>
      </c>
      <c r="C35" s="14" t="s">
        <v>53</v>
      </c>
      <c r="D35" s="14" t="s">
        <v>207</v>
      </c>
      <c r="E35" s="14" t="s">
        <v>259</v>
      </c>
      <c r="F35" s="14" t="s">
        <v>260</v>
      </c>
      <c r="G35" s="14" t="s">
        <v>261</v>
      </c>
      <c r="H35" s="14" t="s">
        <v>262</v>
      </c>
      <c r="I35" s="15" t="s">
        <v>263</v>
      </c>
      <c r="J35" s="15" t="s">
        <v>3</v>
      </c>
      <c r="K35" s="15"/>
      <c r="L35" s="15" t="s">
        <v>60</v>
      </c>
      <c r="M35" s="15"/>
    </row>
    <row r="36" customFormat="false" ht="23.25" hidden="false" customHeight="true" outlineLevel="0" collapsed="false">
      <c r="A36" s="14" t="s">
        <v>264</v>
      </c>
      <c r="B36" s="14" t="s">
        <v>13</v>
      </c>
      <c r="C36" s="14" t="s">
        <v>53</v>
      </c>
      <c r="D36" s="14" t="s">
        <v>265</v>
      </c>
      <c r="E36" s="14" t="s">
        <v>266</v>
      </c>
      <c r="F36" s="14" t="s">
        <v>267</v>
      </c>
      <c r="G36" s="14" t="s">
        <v>268</v>
      </c>
      <c r="H36" s="14" t="s">
        <v>269</v>
      </c>
      <c r="I36" s="15" t="s">
        <v>270</v>
      </c>
      <c r="J36" s="15" t="s">
        <v>3</v>
      </c>
      <c r="K36" s="15"/>
      <c r="L36" s="15" t="s">
        <v>60</v>
      </c>
      <c r="M36" s="15"/>
    </row>
    <row r="37" customFormat="false" ht="23.25" hidden="false" customHeight="true" outlineLevel="0" collapsed="false">
      <c r="A37" s="14" t="s">
        <v>271</v>
      </c>
      <c r="B37" s="14" t="s">
        <v>13</v>
      </c>
      <c r="C37" s="14" t="s">
        <v>68</v>
      </c>
      <c r="D37" s="14" t="s">
        <v>13</v>
      </c>
      <c r="E37" s="14" t="s">
        <v>272</v>
      </c>
      <c r="F37" s="14" t="s">
        <v>273</v>
      </c>
      <c r="G37" s="14" t="s">
        <v>274</v>
      </c>
      <c r="H37" s="14" t="s">
        <v>275</v>
      </c>
      <c r="I37" s="15" t="s">
        <v>276</v>
      </c>
      <c r="J37" s="15" t="s">
        <v>4</v>
      </c>
      <c r="K37" s="15" t="s">
        <v>277</v>
      </c>
      <c r="L37" s="15" t="s">
        <v>60</v>
      </c>
      <c r="M37" s="15"/>
    </row>
    <row r="38" customFormat="false" ht="23.25" hidden="false" customHeight="true" outlineLevel="0" collapsed="false">
      <c r="A38" s="14" t="s">
        <v>278</v>
      </c>
      <c r="B38" s="14" t="s">
        <v>13</v>
      </c>
      <c r="C38" s="14" t="s">
        <v>68</v>
      </c>
      <c r="D38" s="14" t="s">
        <v>279</v>
      </c>
      <c r="E38" s="14" t="s">
        <v>280</v>
      </c>
      <c r="F38" s="14" t="s">
        <v>281</v>
      </c>
      <c r="G38" s="14" t="s">
        <v>261</v>
      </c>
      <c r="H38" s="14" t="s">
        <v>282</v>
      </c>
      <c r="I38" s="15" t="s">
        <v>283</v>
      </c>
      <c r="J38" s="15" t="s">
        <v>3</v>
      </c>
      <c r="K38" s="15"/>
      <c r="L38" s="15" t="s">
        <v>60</v>
      </c>
      <c r="M38" s="15" t="s">
        <v>284</v>
      </c>
    </row>
    <row r="39" customFormat="false" ht="23.25" hidden="false" customHeight="true" outlineLevel="0" collapsed="false">
      <c r="A39" s="14" t="s">
        <v>285</v>
      </c>
      <c r="B39" s="14" t="s">
        <v>13</v>
      </c>
      <c r="C39" s="14" t="s">
        <v>68</v>
      </c>
      <c r="D39" s="14" t="s">
        <v>286</v>
      </c>
      <c r="E39" s="14" t="s">
        <v>287</v>
      </c>
      <c r="F39" s="14" t="s">
        <v>130</v>
      </c>
      <c r="G39" s="14" t="s">
        <v>288</v>
      </c>
      <c r="H39" s="14" t="s">
        <v>289</v>
      </c>
      <c r="I39" s="15" t="s">
        <v>290</v>
      </c>
      <c r="J39" s="15" t="s">
        <v>3</v>
      </c>
      <c r="K39" s="15"/>
      <c r="L39" s="15" t="s">
        <v>60</v>
      </c>
      <c r="M39" s="15" t="s">
        <v>291</v>
      </c>
    </row>
    <row r="40" customFormat="false" ht="23.25" hidden="false" customHeight="true" outlineLevel="0" collapsed="false">
      <c r="A40" s="14" t="s">
        <v>292</v>
      </c>
      <c r="B40" s="14" t="s">
        <v>13</v>
      </c>
      <c r="C40" s="14" t="s">
        <v>68</v>
      </c>
      <c r="D40" s="14" t="s">
        <v>13</v>
      </c>
      <c r="E40" s="14" t="s">
        <v>293</v>
      </c>
      <c r="F40" s="14" t="s">
        <v>267</v>
      </c>
      <c r="G40" s="14" t="s">
        <v>294</v>
      </c>
      <c r="H40" s="14" t="s">
        <v>295</v>
      </c>
      <c r="I40" s="15" t="s">
        <v>296</v>
      </c>
      <c r="J40" s="15" t="s">
        <v>6</v>
      </c>
      <c r="K40" s="15" t="s">
        <v>189</v>
      </c>
      <c r="L40" s="15" t="s">
        <v>60</v>
      </c>
      <c r="M40" s="15"/>
    </row>
    <row r="41" customFormat="false" ht="15" hidden="false" customHeight="true" outlineLevel="0" collapsed="false">
      <c r="A41" s="12" t="s">
        <v>297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2" customFormat="false" ht="23.25" hidden="false" customHeight="true" outlineLevel="0" collapsed="false">
      <c r="A42" s="14" t="s">
        <v>298</v>
      </c>
      <c r="B42" s="14" t="s">
        <v>14</v>
      </c>
      <c r="C42" s="14" t="s">
        <v>53</v>
      </c>
      <c r="D42" s="14" t="s">
        <v>299</v>
      </c>
      <c r="E42" s="14" t="s">
        <v>300</v>
      </c>
      <c r="F42" s="14" t="s">
        <v>301</v>
      </c>
      <c r="G42" s="14" t="s">
        <v>87</v>
      </c>
      <c r="H42" s="14" t="s">
        <v>302</v>
      </c>
      <c r="I42" s="15" t="s">
        <v>303</v>
      </c>
      <c r="J42" s="15" t="s">
        <v>3</v>
      </c>
      <c r="K42" s="15"/>
      <c r="L42" s="15" t="s">
        <v>60</v>
      </c>
      <c r="M42" s="15" t="s">
        <v>304</v>
      </c>
    </row>
    <row r="43" customFormat="false" ht="23.25" hidden="false" customHeight="true" outlineLevel="0" collapsed="false">
      <c r="A43" s="14" t="s">
        <v>305</v>
      </c>
      <c r="B43" s="14" t="s">
        <v>14</v>
      </c>
      <c r="C43" s="14" t="s">
        <v>68</v>
      </c>
      <c r="D43" s="14" t="s">
        <v>306</v>
      </c>
      <c r="E43" s="14" t="s">
        <v>307</v>
      </c>
      <c r="F43" s="14" t="s">
        <v>308</v>
      </c>
      <c r="G43" s="14" t="s">
        <v>87</v>
      </c>
      <c r="H43" s="14" t="s">
        <v>309</v>
      </c>
      <c r="I43" s="15" t="s">
        <v>310</v>
      </c>
      <c r="J43" s="15" t="s">
        <v>5</v>
      </c>
      <c r="K43" s="15"/>
      <c r="L43" s="15" t="s">
        <v>60</v>
      </c>
      <c r="M43" s="15" t="s">
        <v>311</v>
      </c>
    </row>
    <row r="44" customFormat="false" ht="23.25" hidden="false" customHeight="true" outlineLevel="0" collapsed="false">
      <c r="A44" s="14" t="s">
        <v>312</v>
      </c>
      <c r="B44" s="14" t="s">
        <v>14</v>
      </c>
      <c r="C44" s="14" t="s">
        <v>68</v>
      </c>
      <c r="D44" s="14" t="s">
        <v>313</v>
      </c>
      <c r="E44" s="14" t="s">
        <v>314</v>
      </c>
      <c r="F44" s="14" t="s">
        <v>315</v>
      </c>
      <c r="G44" s="14" t="s">
        <v>87</v>
      </c>
      <c r="H44" s="14" t="s">
        <v>316</v>
      </c>
      <c r="I44" s="15"/>
      <c r="J44" s="15" t="s">
        <v>5</v>
      </c>
      <c r="K44" s="15"/>
      <c r="L44" s="15" t="s">
        <v>60</v>
      </c>
      <c r="M44" s="15" t="s">
        <v>317</v>
      </c>
    </row>
    <row r="45" customFormat="false" ht="15" hidden="false" customHeight="true" outlineLevel="0" collapsed="false">
      <c r="A45" s="14" t="s">
        <v>318</v>
      </c>
      <c r="B45" s="14" t="s">
        <v>14</v>
      </c>
      <c r="C45" s="14" t="s">
        <v>68</v>
      </c>
      <c r="D45" s="14" t="s">
        <v>319</v>
      </c>
      <c r="E45" s="14" t="s">
        <v>320</v>
      </c>
      <c r="F45" s="14" t="s">
        <v>321</v>
      </c>
      <c r="G45" s="14" t="s">
        <v>322</v>
      </c>
      <c r="H45" s="14" t="s">
        <v>323</v>
      </c>
      <c r="I45" s="15"/>
      <c r="J45" s="15" t="s">
        <v>5</v>
      </c>
      <c r="K45" s="15"/>
      <c r="L45" s="15" t="s">
        <v>60</v>
      </c>
      <c r="M45" s="15" t="s">
        <v>324</v>
      </c>
    </row>
    <row r="46" customFormat="false" ht="23.25" hidden="false" customHeight="true" outlineLevel="0" collapsed="false">
      <c r="A46" s="14" t="s">
        <v>325</v>
      </c>
      <c r="B46" s="14" t="s">
        <v>14</v>
      </c>
      <c r="C46" s="14" t="s">
        <v>68</v>
      </c>
      <c r="D46" s="14" t="s">
        <v>326</v>
      </c>
      <c r="E46" s="14" t="s">
        <v>327</v>
      </c>
      <c r="F46" s="14" t="s">
        <v>328</v>
      </c>
      <c r="G46" s="14" t="s">
        <v>322</v>
      </c>
      <c r="H46" s="14" t="s">
        <v>329</v>
      </c>
      <c r="I46" s="15"/>
      <c r="J46" s="15" t="s">
        <v>5</v>
      </c>
      <c r="K46" s="15"/>
      <c r="L46" s="15" t="s">
        <v>60</v>
      </c>
      <c r="M46" s="15" t="s">
        <v>330</v>
      </c>
    </row>
    <row r="47" customFormat="false" ht="23.25" hidden="false" customHeight="true" outlineLevel="0" collapsed="false">
      <c r="A47" s="14" t="s">
        <v>331</v>
      </c>
      <c r="B47" s="14" t="s">
        <v>14</v>
      </c>
      <c r="C47" s="14" t="s">
        <v>68</v>
      </c>
      <c r="D47" s="14" t="s">
        <v>332</v>
      </c>
      <c r="E47" s="14" t="s">
        <v>333</v>
      </c>
      <c r="F47" s="14" t="s">
        <v>334</v>
      </c>
      <c r="G47" s="14" t="s">
        <v>335</v>
      </c>
      <c r="H47" s="14" t="s">
        <v>336</v>
      </c>
      <c r="I47" s="15"/>
      <c r="J47" s="15" t="s">
        <v>5</v>
      </c>
      <c r="K47" s="15"/>
      <c r="L47" s="15" t="s">
        <v>60</v>
      </c>
      <c r="M47" s="15" t="s">
        <v>337</v>
      </c>
    </row>
    <row r="48" customFormat="false" ht="23.25" hidden="false" customHeight="true" outlineLevel="0" collapsed="false">
      <c r="A48" s="14" t="s">
        <v>338</v>
      </c>
      <c r="B48" s="14" t="s">
        <v>14</v>
      </c>
      <c r="C48" s="14" t="s">
        <v>135</v>
      </c>
      <c r="D48" s="14" t="s">
        <v>339</v>
      </c>
      <c r="E48" s="14" t="s">
        <v>340</v>
      </c>
      <c r="F48" s="14" t="s">
        <v>341</v>
      </c>
      <c r="G48" s="14" t="s">
        <v>87</v>
      </c>
      <c r="H48" s="14" t="s">
        <v>342</v>
      </c>
      <c r="I48" s="15"/>
      <c r="J48" s="15" t="s">
        <v>5</v>
      </c>
      <c r="K48" s="15"/>
      <c r="L48" s="15" t="s">
        <v>60</v>
      </c>
      <c r="M48" s="15" t="s">
        <v>343</v>
      </c>
    </row>
    <row r="49" customFormat="false" ht="15" hidden="false" customHeight="true" outlineLevel="0" collapsed="false">
      <c r="A49" s="12" t="s">
        <v>344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customFormat="false" ht="23.25" hidden="false" customHeight="true" outlineLevel="0" collapsed="false">
      <c r="A50" s="14" t="s">
        <v>345</v>
      </c>
      <c r="B50" s="14" t="s">
        <v>15</v>
      </c>
      <c r="C50" s="14" t="s">
        <v>53</v>
      </c>
      <c r="D50" s="14" t="s">
        <v>346</v>
      </c>
      <c r="E50" s="14" t="s">
        <v>347</v>
      </c>
      <c r="F50" s="14" t="s">
        <v>348</v>
      </c>
      <c r="G50" s="14" t="s">
        <v>87</v>
      </c>
      <c r="H50" s="14" t="s">
        <v>349</v>
      </c>
      <c r="I50" s="15"/>
      <c r="J50" s="15" t="s">
        <v>5</v>
      </c>
      <c r="K50" s="15"/>
      <c r="L50" s="15" t="s">
        <v>60</v>
      </c>
      <c r="M50" s="15" t="s">
        <v>350</v>
      </c>
    </row>
    <row r="51" customFormat="false" ht="23.25" hidden="false" customHeight="true" outlineLevel="0" collapsed="false">
      <c r="A51" s="14" t="s">
        <v>351</v>
      </c>
      <c r="B51" s="14" t="s">
        <v>15</v>
      </c>
      <c r="C51" s="14" t="s">
        <v>53</v>
      </c>
      <c r="D51" s="14" t="s">
        <v>352</v>
      </c>
      <c r="E51" s="14" t="s">
        <v>353</v>
      </c>
      <c r="F51" s="14" t="s">
        <v>354</v>
      </c>
      <c r="G51" s="14" t="s">
        <v>87</v>
      </c>
      <c r="H51" s="14" t="s">
        <v>355</v>
      </c>
      <c r="I51" s="15" t="s">
        <v>356</v>
      </c>
      <c r="J51" s="15" t="s">
        <v>4</v>
      </c>
      <c r="K51" s="15" t="s">
        <v>357</v>
      </c>
      <c r="L51" s="15" t="s">
        <v>60</v>
      </c>
      <c r="M51" s="15" t="s">
        <v>358</v>
      </c>
    </row>
    <row r="52" customFormat="false" ht="23.25" hidden="false" customHeight="true" outlineLevel="0" collapsed="false">
      <c r="A52" s="14" t="s">
        <v>359</v>
      </c>
      <c r="B52" s="14" t="s">
        <v>15</v>
      </c>
      <c r="C52" s="14" t="s">
        <v>53</v>
      </c>
      <c r="D52" s="14" t="s">
        <v>360</v>
      </c>
      <c r="E52" s="14" t="s">
        <v>361</v>
      </c>
      <c r="F52" s="14" t="s">
        <v>362</v>
      </c>
      <c r="G52" s="14" t="s">
        <v>363</v>
      </c>
      <c r="H52" s="14" t="s">
        <v>364</v>
      </c>
      <c r="I52" s="15" t="s">
        <v>365</v>
      </c>
      <c r="J52" s="15" t="s">
        <v>6</v>
      </c>
      <c r="K52" s="15" t="s">
        <v>357</v>
      </c>
      <c r="L52" s="15" t="s">
        <v>60</v>
      </c>
      <c r="M52" s="15"/>
    </row>
    <row r="53" customFormat="false" ht="23.25" hidden="false" customHeight="true" outlineLevel="0" collapsed="false">
      <c r="A53" s="14" t="s">
        <v>366</v>
      </c>
      <c r="B53" s="14" t="s">
        <v>15</v>
      </c>
      <c r="C53" s="14" t="s">
        <v>68</v>
      </c>
      <c r="D53" s="14" t="s">
        <v>367</v>
      </c>
      <c r="E53" s="14" t="s">
        <v>368</v>
      </c>
      <c r="F53" s="14" t="s">
        <v>369</v>
      </c>
      <c r="G53" s="14" t="s">
        <v>363</v>
      </c>
      <c r="H53" s="14" t="s">
        <v>370</v>
      </c>
      <c r="I53" s="15" t="s">
        <v>371</v>
      </c>
      <c r="J53" s="15" t="s">
        <v>6</v>
      </c>
      <c r="K53" s="15" t="s">
        <v>357</v>
      </c>
      <c r="L53" s="15" t="s">
        <v>60</v>
      </c>
      <c r="M53" s="15"/>
    </row>
    <row r="54" customFormat="false" ht="23.25" hidden="false" customHeight="true" outlineLevel="0" collapsed="false">
      <c r="A54" s="14" t="s">
        <v>372</v>
      </c>
      <c r="B54" s="14" t="s">
        <v>15</v>
      </c>
      <c r="C54" s="14" t="s">
        <v>68</v>
      </c>
      <c r="D54" s="14" t="s">
        <v>373</v>
      </c>
      <c r="E54" s="14" t="s">
        <v>374</v>
      </c>
      <c r="F54" s="14" t="s">
        <v>375</v>
      </c>
      <c r="G54" s="14" t="s">
        <v>87</v>
      </c>
      <c r="H54" s="14" t="s">
        <v>376</v>
      </c>
      <c r="I54" s="15" t="s">
        <v>377</v>
      </c>
      <c r="J54" s="15" t="s">
        <v>4</v>
      </c>
      <c r="K54" s="15" t="s">
        <v>357</v>
      </c>
      <c r="L54" s="15" t="s">
        <v>60</v>
      </c>
      <c r="M54" s="15" t="s">
        <v>378</v>
      </c>
    </row>
    <row r="55" customFormat="false" ht="23.25" hidden="false" customHeight="true" outlineLevel="0" collapsed="false">
      <c r="A55" s="14" t="s">
        <v>379</v>
      </c>
      <c r="B55" s="14" t="s">
        <v>15</v>
      </c>
      <c r="C55" s="14" t="s">
        <v>68</v>
      </c>
      <c r="D55" s="14" t="s">
        <v>380</v>
      </c>
      <c r="E55" s="14" t="s">
        <v>381</v>
      </c>
      <c r="F55" s="14" t="s">
        <v>382</v>
      </c>
      <c r="G55" s="14" t="s">
        <v>383</v>
      </c>
      <c r="H55" s="14" t="s">
        <v>384</v>
      </c>
      <c r="I55" s="15" t="s">
        <v>385</v>
      </c>
      <c r="J55" s="15" t="s">
        <v>3</v>
      </c>
      <c r="K55" s="15"/>
      <c r="L55" s="15" t="s">
        <v>60</v>
      </c>
      <c r="M55" s="15" t="s">
        <v>386</v>
      </c>
    </row>
    <row r="56" customFormat="false" ht="23.25" hidden="false" customHeight="true" outlineLevel="0" collapsed="false">
      <c r="A56" s="14" t="s">
        <v>387</v>
      </c>
      <c r="B56" s="14" t="s">
        <v>15</v>
      </c>
      <c r="C56" s="14" t="s">
        <v>68</v>
      </c>
      <c r="D56" s="14" t="s">
        <v>388</v>
      </c>
      <c r="E56" s="14" t="s">
        <v>389</v>
      </c>
      <c r="F56" s="14" t="s">
        <v>390</v>
      </c>
      <c r="G56" s="14" t="s">
        <v>178</v>
      </c>
      <c r="H56" s="14" t="s">
        <v>391</v>
      </c>
      <c r="I56" s="15" t="s">
        <v>392</v>
      </c>
      <c r="J56" s="15" t="s">
        <v>3</v>
      </c>
      <c r="K56" s="15"/>
      <c r="L56" s="15" t="s">
        <v>60</v>
      </c>
      <c r="M56" s="15" t="s">
        <v>393</v>
      </c>
    </row>
    <row r="57" customFormat="false" ht="23.25" hidden="false" customHeight="true" outlineLevel="0" collapsed="false">
      <c r="A57" s="14" t="s">
        <v>394</v>
      </c>
      <c r="B57" s="14" t="s">
        <v>15</v>
      </c>
      <c r="C57" s="14" t="s">
        <v>68</v>
      </c>
      <c r="D57" s="14" t="s">
        <v>395</v>
      </c>
      <c r="E57" s="14" t="s">
        <v>396</v>
      </c>
      <c r="F57" s="14" t="s">
        <v>397</v>
      </c>
      <c r="G57" s="14" t="s">
        <v>261</v>
      </c>
      <c r="H57" s="14" t="s">
        <v>398</v>
      </c>
      <c r="I57" s="15"/>
      <c r="J57" s="15" t="s">
        <v>5</v>
      </c>
      <c r="K57" s="15"/>
      <c r="L57" s="15" t="s">
        <v>60</v>
      </c>
      <c r="M57" s="15" t="s">
        <v>399</v>
      </c>
    </row>
    <row r="58" customFormat="false" ht="15" hidden="false" customHeight="true" outlineLevel="0" collapsed="false">
      <c r="A58" s="12" t="s">
        <v>400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customFormat="false" ht="23.25" hidden="false" customHeight="true" outlineLevel="0" collapsed="false">
      <c r="A59" s="14" t="s">
        <v>401</v>
      </c>
      <c r="B59" s="14" t="s">
        <v>16</v>
      </c>
      <c r="C59" s="14" t="s">
        <v>53</v>
      </c>
      <c r="D59" s="14" t="s">
        <v>402</v>
      </c>
      <c r="E59" s="14" t="s">
        <v>403</v>
      </c>
      <c r="F59" s="14" t="s">
        <v>404</v>
      </c>
      <c r="G59" s="14" t="s">
        <v>405</v>
      </c>
      <c r="H59" s="14" t="s">
        <v>406</v>
      </c>
      <c r="I59" s="15" t="s">
        <v>407</v>
      </c>
      <c r="J59" s="15" t="s">
        <v>3</v>
      </c>
      <c r="K59" s="15"/>
      <c r="L59" s="15" t="s">
        <v>60</v>
      </c>
      <c r="M59" s="15" t="s">
        <v>408</v>
      </c>
    </row>
    <row r="60" customFormat="false" ht="23.25" hidden="false" customHeight="true" outlineLevel="0" collapsed="false">
      <c r="A60" s="14" t="s">
        <v>409</v>
      </c>
      <c r="B60" s="14" t="s">
        <v>16</v>
      </c>
      <c r="C60" s="14" t="s">
        <v>53</v>
      </c>
      <c r="D60" s="14" t="s">
        <v>410</v>
      </c>
      <c r="E60" s="14" t="s">
        <v>411</v>
      </c>
      <c r="F60" s="14" t="s">
        <v>412</v>
      </c>
      <c r="G60" s="14" t="s">
        <v>413</v>
      </c>
      <c r="H60" s="14" t="s">
        <v>414</v>
      </c>
      <c r="I60" s="15" t="s">
        <v>415</v>
      </c>
      <c r="J60" s="15" t="s">
        <v>3</v>
      </c>
      <c r="K60" s="15"/>
      <c r="L60" s="15" t="s">
        <v>60</v>
      </c>
      <c r="M60" s="15"/>
    </row>
    <row r="61" customFormat="false" ht="23.25" hidden="false" customHeight="true" outlineLevel="0" collapsed="false">
      <c r="A61" s="14" t="s">
        <v>416</v>
      </c>
      <c r="B61" s="14" t="s">
        <v>16</v>
      </c>
      <c r="C61" s="14" t="s">
        <v>68</v>
      </c>
      <c r="D61" s="14" t="s">
        <v>417</v>
      </c>
      <c r="E61" s="14" t="s">
        <v>418</v>
      </c>
      <c r="F61" s="14" t="s">
        <v>419</v>
      </c>
      <c r="G61" s="14" t="s">
        <v>420</v>
      </c>
      <c r="H61" s="14" t="s">
        <v>421</v>
      </c>
      <c r="I61" s="15" t="s">
        <v>422</v>
      </c>
      <c r="J61" s="15" t="s">
        <v>3</v>
      </c>
      <c r="K61" s="15"/>
      <c r="L61" s="15" t="s">
        <v>60</v>
      </c>
      <c r="M61" s="15" t="s">
        <v>423</v>
      </c>
    </row>
    <row r="62" customFormat="false" ht="23.25" hidden="false" customHeight="true" outlineLevel="0" collapsed="false">
      <c r="A62" s="14" t="s">
        <v>424</v>
      </c>
      <c r="B62" s="14" t="s">
        <v>16</v>
      </c>
      <c r="C62" s="14" t="s">
        <v>68</v>
      </c>
      <c r="D62" s="14" t="s">
        <v>425</v>
      </c>
      <c r="E62" s="14" t="s">
        <v>426</v>
      </c>
      <c r="F62" s="14" t="s">
        <v>427</v>
      </c>
      <c r="G62" s="14" t="s">
        <v>428</v>
      </c>
      <c r="H62" s="14" t="s">
        <v>429</v>
      </c>
      <c r="I62" s="15" t="s">
        <v>430</v>
      </c>
      <c r="J62" s="15" t="s">
        <v>3</v>
      </c>
      <c r="K62" s="15"/>
      <c r="L62" s="15" t="s">
        <v>60</v>
      </c>
      <c r="M62" s="15" t="s">
        <v>431</v>
      </c>
    </row>
  </sheetData>
  <autoFilter ref="A1:M62"/>
  <conditionalFormatting sqref="J2:J62">
    <cfRule type="cellIs" priority="2" operator="equal" aboveAverage="0" equalAverage="0" bottom="0" percent="0" rank="0" text="" dxfId="9">
      <formula>"Pass"</formula>
    </cfRule>
    <cfRule type="cellIs" priority="3" operator="equal" aboveAverage="0" equalAverage="0" bottom="0" percent="0" rank="0" text="" dxfId="10">
      <formula>"Fail"</formula>
    </cfRule>
    <cfRule type="cellIs" priority="4" operator="equal" aboveAverage="0" equalAverage="0" bottom="0" percent="0" rank="0" text="" dxfId="11">
      <formula>"Blocked"</formula>
    </cfRule>
    <cfRule type="cellIs" priority="5" operator="equal" aboveAverage="0" equalAverage="0" bottom="0" percent="0" rank="0" text="" dxfId="12">
      <formula>"Not built"</formula>
    </cfRule>
  </conditionalFormatting>
  <conditionalFormatting sqref="A2:M62">
    <cfRule type="expression" priority="6" aboveAverage="0" equalAverage="0" bottom="0" percent="0" rank="0" text="" dxfId="9">
      <formula>$J2="Pass"</formula>
    </cfRule>
    <cfRule type="expression" priority="7" aboveAverage="0" equalAverage="0" bottom="0" percent="0" rank="0" text="" dxfId="10">
      <formula>$J2="Fail"</formula>
    </cfRule>
    <cfRule type="expression" priority="8" aboveAverage="0" equalAverage="0" bottom="0" percent="0" rank="0" text="" dxfId="11">
      <formula>$J2="Blocked"</formula>
    </cfRule>
    <cfRule type="expression" priority="9" aboveAverage="0" equalAverage="0" bottom="0" percent="0" rank="0" text="" dxfId="12">
      <formula>$J2="Not built"</formula>
    </cfRule>
    <cfRule type="expression" priority="10" aboveAverage="0" equalAverage="0" bottom="0" percent="0" rank="0" text="" dxfId="13">
      <formula>$J2="Not tested"</formula>
    </cfRule>
  </conditionalFormatting>
  <dataValidations count="1">
    <dataValidation allowBlank="true" errorStyle="stop" operator="between" showDropDown="false" showErrorMessage="false" showInputMessage="false" sqref="J2:J62" type="list">
      <formula1>"Not tested,Pass,Fail,Blocked,Not built"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4" min="4" style="1" width="22"/>
    <col collapsed="false" customWidth="true" hidden="false" outlineLevel="0" max="5" min="5" style="1" width="44"/>
    <col collapsed="false" customWidth="true" hidden="false" outlineLevel="0" max="6" min="6" style="1" width="36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9" min="9" style="1" width="22"/>
  </cols>
  <sheetData>
    <row r="1" customFormat="false" ht="30" hidden="false" customHeight="true" outlineLevel="0" collapsed="false">
      <c r="A1" s="11" t="s">
        <v>38</v>
      </c>
      <c r="B1" s="11" t="s">
        <v>432</v>
      </c>
      <c r="C1" s="11" t="s">
        <v>433</v>
      </c>
      <c r="D1" s="11" t="s">
        <v>434</v>
      </c>
      <c r="E1" s="11" t="s">
        <v>435</v>
      </c>
      <c r="F1" s="11" t="s">
        <v>436</v>
      </c>
      <c r="G1" s="11" t="s">
        <v>47</v>
      </c>
      <c r="H1" s="11" t="s">
        <v>48</v>
      </c>
      <c r="I1" s="11" t="s">
        <v>50</v>
      </c>
    </row>
    <row r="2" customFormat="false" ht="15" hidden="false" customHeight="true" outlineLevel="0" collapsed="false">
      <c r="A2" s="12" t="s">
        <v>437</v>
      </c>
      <c r="B2" s="13"/>
      <c r="C2" s="13"/>
      <c r="D2" s="13"/>
      <c r="E2" s="13"/>
      <c r="F2" s="13"/>
      <c r="G2" s="13"/>
      <c r="H2" s="13"/>
      <c r="I2" s="13"/>
    </row>
    <row r="3" customFormat="false" ht="15" hidden="false" customHeight="true" outlineLevel="0" collapsed="false">
      <c r="A3" s="14" t="s">
        <v>438</v>
      </c>
      <c r="B3" s="14" t="s">
        <v>439</v>
      </c>
      <c r="C3" s="14" t="s">
        <v>440</v>
      </c>
      <c r="D3" s="14" t="s">
        <v>441</v>
      </c>
      <c r="E3" s="14" t="s">
        <v>442</v>
      </c>
      <c r="F3" s="15" t="s">
        <v>443</v>
      </c>
      <c r="G3" s="15" t="s">
        <v>4</v>
      </c>
      <c r="H3" s="15" t="s">
        <v>444</v>
      </c>
      <c r="I3" s="15"/>
    </row>
    <row r="4" customFormat="false" ht="23.25" hidden="false" customHeight="true" outlineLevel="0" collapsed="false">
      <c r="A4" s="14" t="s">
        <v>445</v>
      </c>
      <c r="B4" s="14" t="s">
        <v>439</v>
      </c>
      <c r="C4" s="14" t="s">
        <v>446</v>
      </c>
      <c r="D4" s="14" t="s">
        <v>447</v>
      </c>
      <c r="E4" s="14" t="s">
        <v>448</v>
      </c>
      <c r="F4" s="15" t="s">
        <v>449</v>
      </c>
      <c r="G4" s="15" t="s">
        <v>3</v>
      </c>
      <c r="H4" s="15"/>
      <c r="I4" s="15"/>
    </row>
    <row r="5" customFormat="false" ht="23.25" hidden="false" customHeight="true" outlineLevel="0" collapsed="false">
      <c r="A5" s="14" t="s">
        <v>450</v>
      </c>
      <c r="B5" s="14" t="s">
        <v>439</v>
      </c>
      <c r="C5" s="14" t="s">
        <v>451</v>
      </c>
      <c r="D5" s="14" t="s">
        <v>452</v>
      </c>
      <c r="E5" s="14" t="s">
        <v>453</v>
      </c>
      <c r="F5" s="15" t="s">
        <v>454</v>
      </c>
      <c r="G5" s="15" t="s">
        <v>4</v>
      </c>
      <c r="H5" s="15" t="s">
        <v>455</v>
      </c>
      <c r="I5" s="15"/>
    </row>
    <row r="6" customFormat="false" ht="15" hidden="false" customHeight="true" outlineLevel="0" collapsed="false">
      <c r="A6" s="14" t="s">
        <v>456</v>
      </c>
      <c r="B6" s="14" t="s">
        <v>439</v>
      </c>
      <c r="C6" s="14" t="s">
        <v>457</v>
      </c>
      <c r="D6" s="14" t="s">
        <v>458</v>
      </c>
      <c r="E6" s="14" t="s">
        <v>459</v>
      </c>
      <c r="F6" s="15" t="s">
        <v>460</v>
      </c>
      <c r="G6" s="15" t="s">
        <v>4</v>
      </c>
      <c r="H6" s="15" t="s">
        <v>461</v>
      </c>
      <c r="I6" s="15"/>
    </row>
    <row r="7" customFormat="false" ht="15" hidden="false" customHeight="true" outlineLevel="0" collapsed="false">
      <c r="A7" s="14" t="s">
        <v>462</v>
      </c>
      <c r="B7" s="14" t="s">
        <v>439</v>
      </c>
      <c r="C7" s="14" t="s">
        <v>339</v>
      </c>
      <c r="D7" s="14" t="s">
        <v>463</v>
      </c>
      <c r="E7" s="14" t="s">
        <v>464</v>
      </c>
      <c r="F7" s="15"/>
      <c r="G7" s="15" t="s">
        <v>7</v>
      </c>
      <c r="H7" s="15"/>
      <c r="I7" s="15"/>
    </row>
    <row r="8" customFormat="false" ht="15" hidden="false" customHeight="true" outlineLevel="0" collapsed="false">
      <c r="A8" s="14" t="s">
        <v>465</v>
      </c>
      <c r="B8" s="14" t="s">
        <v>439</v>
      </c>
      <c r="C8" s="14" t="s">
        <v>69</v>
      </c>
      <c r="D8" s="14" t="s">
        <v>466</v>
      </c>
      <c r="E8" s="14" t="s">
        <v>467</v>
      </c>
      <c r="F8" s="15" t="s">
        <v>468</v>
      </c>
      <c r="G8" s="15" t="s">
        <v>3</v>
      </c>
      <c r="H8" s="15"/>
      <c r="I8" s="15"/>
    </row>
    <row r="9" customFormat="false" ht="23.25" hidden="false" customHeight="true" outlineLevel="0" collapsed="false">
      <c r="A9" s="14" t="s">
        <v>469</v>
      </c>
      <c r="B9" s="14" t="s">
        <v>439</v>
      </c>
      <c r="C9" s="14" t="s">
        <v>470</v>
      </c>
      <c r="D9" s="14" t="s">
        <v>471</v>
      </c>
      <c r="E9" s="14" t="s">
        <v>472</v>
      </c>
      <c r="F9" s="15" t="s">
        <v>473</v>
      </c>
      <c r="G9" s="15" t="s">
        <v>4</v>
      </c>
      <c r="H9" s="15" t="s">
        <v>474</v>
      </c>
      <c r="I9" s="15"/>
    </row>
    <row r="10" customFormat="false" ht="15" hidden="false" customHeight="true" outlineLevel="0" collapsed="false">
      <c r="A10" s="12" t="s">
        <v>83</v>
      </c>
      <c r="B10" s="13"/>
      <c r="C10" s="13"/>
      <c r="D10" s="13"/>
      <c r="E10" s="13"/>
      <c r="F10" s="13"/>
      <c r="G10" s="13"/>
      <c r="H10" s="13"/>
      <c r="I10" s="13"/>
    </row>
    <row r="11" customFormat="false" ht="23.25" hidden="false" customHeight="true" outlineLevel="0" collapsed="false">
      <c r="A11" s="14" t="s">
        <v>475</v>
      </c>
      <c r="B11" s="14" t="s">
        <v>10</v>
      </c>
      <c r="C11" s="14" t="s">
        <v>476</v>
      </c>
      <c r="D11" s="14" t="s">
        <v>477</v>
      </c>
      <c r="E11" s="14" t="s">
        <v>478</v>
      </c>
      <c r="F11" s="15" t="s">
        <v>479</v>
      </c>
      <c r="G11" s="15" t="s">
        <v>3</v>
      </c>
      <c r="H11" s="15"/>
      <c r="I11" s="15"/>
    </row>
    <row r="12" customFormat="false" ht="23.25" hidden="false" customHeight="true" outlineLevel="0" collapsed="false">
      <c r="A12" s="14" t="s">
        <v>480</v>
      </c>
      <c r="B12" s="14" t="s">
        <v>10</v>
      </c>
      <c r="C12" s="14" t="s">
        <v>481</v>
      </c>
      <c r="D12" s="14" t="s">
        <v>482</v>
      </c>
      <c r="E12" s="14" t="s">
        <v>483</v>
      </c>
      <c r="F12" s="15" t="s">
        <v>484</v>
      </c>
      <c r="G12" s="15" t="s">
        <v>3</v>
      </c>
      <c r="H12" s="15"/>
      <c r="I12" s="15"/>
    </row>
    <row r="13" customFormat="false" ht="23.25" hidden="false" customHeight="true" outlineLevel="0" collapsed="false">
      <c r="A13" s="14" t="s">
        <v>485</v>
      </c>
      <c r="B13" s="14" t="s">
        <v>10</v>
      </c>
      <c r="C13" s="14" t="s">
        <v>486</v>
      </c>
      <c r="D13" s="14" t="s">
        <v>487</v>
      </c>
      <c r="E13" s="14" t="s">
        <v>488</v>
      </c>
      <c r="F13" s="15" t="s">
        <v>489</v>
      </c>
      <c r="G13" s="15" t="s">
        <v>4</v>
      </c>
      <c r="H13" s="15" t="s">
        <v>158</v>
      </c>
      <c r="I13" s="15"/>
    </row>
    <row r="14" customFormat="false" ht="15" hidden="false" customHeight="true" outlineLevel="0" collapsed="false">
      <c r="A14" s="14" t="s">
        <v>490</v>
      </c>
      <c r="B14" s="14" t="s">
        <v>10</v>
      </c>
      <c r="C14" s="14" t="s">
        <v>491</v>
      </c>
      <c r="D14" s="14" t="s">
        <v>492</v>
      </c>
      <c r="E14" s="14" t="s">
        <v>493</v>
      </c>
      <c r="F14" s="15" t="s">
        <v>494</v>
      </c>
      <c r="G14" s="15" t="s">
        <v>4</v>
      </c>
      <c r="H14" s="15" t="s">
        <v>112</v>
      </c>
      <c r="I14" s="15"/>
    </row>
    <row r="15" customFormat="false" ht="15" hidden="false" customHeight="true" outlineLevel="0" collapsed="false">
      <c r="A15" s="14" t="s">
        <v>495</v>
      </c>
      <c r="B15" s="14" t="s">
        <v>10</v>
      </c>
      <c r="C15" s="14" t="s">
        <v>440</v>
      </c>
      <c r="D15" s="14" t="s">
        <v>441</v>
      </c>
      <c r="E15" s="14" t="s">
        <v>442</v>
      </c>
      <c r="F15" s="15" t="s">
        <v>496</v>
      </c>
      <c r="G15" s="15" t="s">
        <v>3</v>
      </c>
      <c r="H15" s="15"/>
      <c r="I15" s="15"/>
    </row>
    <row r="16" customFormat="false" ht="23.25" hidden="false" customHeight="true" outlineLevel="0" collapsed="false">
      <c r="A16" s="14" t="s">
        <v>497</v>
      </c>
      <c r="B16" s="14" t="s">
        <v>10</v>
      </c>
      <c r="C16" s="14" t="s">
        <v>498</v>
      </c>
      <c r="D16" s="14" t="s">
        <v>499</v>
      </c>
      <c r="E16" s="14" t="s">
        <v>500</v>
      </c>
      <c r="F16" s="15"/>
      <c r="G16" s="15" t="s">
        <v>7</v>
      </c>
      <c r="H16" s="15"/>
      <c r="I16" s="15"/>
    </row>
    <row r="17" customFormat="false" ht="23.25" hidden="false" customHeight="true" outlineLevel="0" collapsed="false">
      <c r="A17" s="14" t="s">
        <v>501</v>
      </c>
      <c r="B17" s="14" t="s">
        <v>10</v>
      </c>
      <c r="C17" s="14" t="s">
        <v>446</v>
      </c>
      <c r="D17" s="14" t="s">
        <v>447</v>
      </c>
      <c r="E17" s="14" t="s">
        <v>448</v>
      </c>
      <c r="F17" s="15" t="s">
        <v>502</v>
      </c>
      <c r="G17" s="15" t="s">
        <v>4</v>
      </c>
      <c r="H17" s="15" t="s">
        <v>503</v>
      </c>
      <c r="I17" s="15"/>
    </row>
    <row r="18" customFormat="false" ht="23.25" hidden="false" customHeight="true" outlineLevel="0" collapsed="false">
      <c r="A18" s="14" t="s">
        <v>504</v>
      </c>
      <c r="B18" s="14" t="s">
        <v>10</v>
      </c>
      <c r="C18" s="14" t="s">
        <v>451</v>
      </c>
      <c r="D18" s="14" t="s">
        <v>452</v>
      </c>
      <c r="E18" s="14" t="s">
        <v>453</v>
      </c>
      <c r="F18" s="15" t="s">
        <v>505</v>
      </c>
      <c r="G18" s="15" t="s">
        <v>4</v>
      </c>
      <c r="H18" s="15" t="s">
        <v>455</v>
      </c>
      <c r="I18" s="15"/>
    </row>
    <row r="19" customFormat="false" ht="15" hidden="false" customHeight="true" outlineLevel="0" collapsed="false">
      <c r="A19" s="14" t="s">
        <v>506</v>
      </c>
      <c r="B19" s="14" t="s">
        <v>10</v>
      </c>
      <c r="C19" s="14" t="s">
        <v>457</v>
      </c>
      <c r="D19" s="14" t="s">
        <v>458</v>
      </c>
      <c r="E19" s="14" t="s">
        <v>459</v>
      </c>
      <c r="F19" s="15" t="s">
        <v>460</v>
      </c>
      <c r="G19" s="15" t="s">
        <v>4</v>
      </c>
      <c r="H19" s="15" t="s">
        <v>461</v>
      </c>
      <c r="I19" s="15"/>
    </row>
    <row r="20" customFormat="false" ht="15" hidden="false" customHeight="true" outlineLevel="0" collapsed="false">
      <c r="A20" s="14" t="s">
        <v>507</v>
      </c>
      <c r="B20" s="14" t="s">
        <v>10</v>
      </c>
      <c r="C20" s="14" t="s">
        <v>339</v>
      </c>
      <c r="D20" s="14" t="s">
        <v>463</v>
      </c>
      <c r="E20" s="14" t="s">
        <v>464</v>
      </c>
      <c r="F20" s="15" t="s">
        <v>508</v>
      </c>
      <c r="G20" s="15" t="s">
        <v>3</v>
      </c>
      <c r="H20" s="15"/>
      <c r="I20" s="15"/>
    </row>
    <row r="21" customFormat="false" ht="15" hidden="false" customHeight="true" outlineLevel="0" collapsed="false">
      <c r="A21" s="14" t="s">
        <v>509</v>
      </c>
      <c r="B21" s="14" t="s">
        <v>10</v>
      </c>
      <c r="C21" s="14" t="s">
        <v>69</v>
      </c>
      <c r="D21" s="14" t="s">
        <v>466</v>
      </c>
      <c r="E21" s="14" t="s">
        <v>467</v>
      </c>
      <c r="F21" s="15" t="s">
        <v>510</v>
      </c>
      <c r="G21" s="15" t="s">
        <v>3</v>
      </c>
      <c r="H21" s="15"/>
      <c r="I21" s="15"/>
    </row>
    <row r="22" customFormat="false" ht="23.25" hidden="false" customHeight="true" outlineLevel="0" collapsed="false">
      <c r="A22" s="14" t="s">
        <v>511</v>
      </c>
      <c r="B22" s="14" t="s">
        <v>10</v>
      </c>
      <c r="C22" s="14" t="s">
        <v>470</v>
      </c>
      <c r="D22" s="14" t="s">
        <v>471</v>
      </c>
      <c r="E22" s="14" t="s">
        <v>472</v>
      </c>
      <c r="F22" s="15" t="s">
        <v>512</v>
      </c>
      <c r="G22" s="15" t="s">
        <v>4</v>
      </c>
      <c r="H22" s="15" t="s">
        <v>474</v>
      </c>
      <c r="I22" s="15"/>
    </row>
    <row r="23" customFormat="false" ht="15" hidden="false" customHeight="true" outlineLevel="0" collapsed="false">
      <c r="A23" s="12" t="s">
        <v>143</v>
      </c>
      <c r="B23" s="13"/>
      <c r="C23" s="13"/>
      <c r="D23" s="13"/>
      <c r="E23" s="13"/>
      <c r="F23" s="13"/>
      <c r="G23" s="13"/>
      <c r="H23" s="13"/>
      <c r="I23" s="13"/>
    </row>
    <row r="24" customFormat="false" ht="23.25" hidden="false" customHeight="true" outlineLevel="0" collapsed="false">
      <c r="A24" s="14" t="s">
        <v>513</v>
      </c>
      <c r="B24" s="14" t="s">
        <v>11</v>
      </c>
      <c r="C24" s="14" t="s">
        <v>476</v>
      </c>
      <c r="D24" s="14" t="s">
        <v>477</v>
      </c>
      <c r="E24" s="14" t="s">
        <v>478</v>
      </c>
      <c r="F24" s="15" t="s">
        <v>514</v>
      </c>
      <c r="G24" s="15" t="s">
        <v>3</v>
      </c>
      <c r="H24" s="15"/>
      <c r="I24" s="15"/>
    </row>
    <row r="25" customFormat="false" ht="23.25" hidden="false" customHeight="true" outlineLevel="0" collapsed="false">
      <c r="A25" s="14" t="s">
        <v>515</v>
      </c>
      <c r="B25" s="14" t="s">
        <v>11</v>
      </c>
      <c r="C25" s="14" t="s">
        <v>481</v>
      </c>
      <c r="D25" s="14" t="s">
        <v>482</v>
      </c>
      <c r="E25" s="14" t="s">
        <v>483</v>
      </c>
      <c r="F25" s="15" t="s">
        <v>514</v>
      </c>
      <c r="G25" s="15" t="s">
        <v>3</v>
      </c>
      <c r="H25" s="15"/>
      <c r="I25" s="15"/>
    </row>
    <row r="26" customFormat="false" ht="23.25" hidden="false" customHeight="true" outlineLevel="0" collapsed="false">
      <c r="A26" s="14" t="s">
        <v>516</v>
      </c>
      <c r="B26" s="14" t="s">
        <v>11</v>
      </c>
      <c r="C26" s="14" t="s">
        <v>486</v>
      </c>
      <c r="D26" s="14" t="s">
        <v>487</v>
      </c>
      <c r="E26" s="14" t="s">
        <v>488</v>
      </c>
      <c r="F26" s="15" t="s">
        <v>517</v>
      </c>
      <c r="G26" s="15" t="s">
        <v>4</v>
      </c>
      <c r="H26" s="15" t="s">
        <v>158</v>
      </c>
      <c r="I26" s="15"/>
    </row>
    <row r="27" customFormat="false" ht="15" hidden="false" customHeight="true" outlineLevel="0" collapsed="false">
      <c r="A27" s="14" t="s">
        <v>518</v>
      </c>
      <c r="B27" s="14" t="s">
        <v>11</v>
      </c>
      <c r="C27" s="14" t="s">
        <v>519</v>
      </c>
      <c r="D27" s="14" t="s">
        <v>520</v>
      </c>
      <c r="E27" s="14" t="s">
        <v>521</v>
      </c>
      <c r="F27" s="15" t="s">
        <v>522</v>
      </c>
      <c r="G27" s="15" t="s">
        <v>4</v>
      </c>
      <c r="H27" s="15" t="s">
        <v>167</v>
      </c>
      <c r="I27" s="15"/>
    </row>
    <row r="28" customFormat="false" ht="23.25" hidden="false" customHeight="true" outlineLevel="0" collapsed="false">
      <c r="A28" s="14" t="s">
        <v>523</v>
      </c>
      <c r="B28" s="14" t="s">
        <v>11</v>
      </c>
      <c r="C28" s="14" t="s">
        <v>524</v>
      </c>
      <c r="D28" s="14" t="s">
        <v>525</v>
      </c>
      <c r="E28" s="14" t="s">
        <v>526</v>
      </c>
      <c r="F28" s="15" t="s">
        <v>527</v>
      </c>
      <c r="G28" s="15" t="s">
        <v>3</v>
      </c>
      <c r="H28" s="15"/>
      <c r="I28" s="15"/>
    </row>
    <row r="29" customFormat="false" ht="15" hidden="false" customHeight="true" outlineLevel="0" collapsed="false">
      <c r="A29" s="14" t="s">
        <v>528</v>
      </c>
      <c r="B29" s="14" t="s">
        <v>11</v>
      </c>
      <c r="C29" s="14" t="s">
        <v>529</v>
      </c>
      <c r="D29" s="14" t="s">
        <v>170</v>
      </c>
      <c r="E29" s="14" t="s">
        <v>530</v>
      </c>
      <c r="F29" s="15" t="s">
        <v>531</v>
      </c>
      <c r="G29" s="15" t="s">
        <v>3</v>
      </c>
      <c r="H29" s="15"/>
      <c r="I29" s="15"/>
    </row>
    <row r="30" customFormat="false" ht="15" hidden="false" customHeight="true" outlineLevel="0" collapsed="false">
      <c r="A30" s="14" t="s">
        <v>532</v>
      </c>
      <c r="B30" s="14" t="s">
        <v>11</v>
      </c>
      <c r="C30" s="14" t="s">
        <v>491</v>
      </c>
      <c r="D30" s="14" t="s">
        <v>492</v>
      </c>
      <c r="E30" s="14" t="s">
        <v>493</v>
      </c>
      <c r="F30" s="15" t="s">
        <v>494</v>
      </c>
      <c r="G30" s="15" t="s">
        <v>4</v>
      </c>
      <c r="H30" s="15" t="s">
        <v>112</v>
      </c>
      <c r="I30" s="15"/>
    </row>
    <row r="31" customFormat="false" ht="15" hidden="false" customHeight="true" outlineLevel="0" collapsed="false">
      <c r="A31" s="14" t="s">
        <v>533</v>
      </c>
      <c r="B31" s="14" t="s">
        <v>11</v>
      </c>
      <c r="C31" s="14" t="s">
        <v>440</v>
      </c>
      <c r="D31" s="14" t="s">
        <v>441</v>
      </c>
      <c r="E31" s="14" t="s">
        <v>442</v>
      </c>
      <c r="F31" s="15" t="s">
        <v>534</v>
      </c>
      <c r="G31" s="15" t="s">
        <v>4</v>
      </c>
      <c r="H31" s="15" t="s">
        <v>189</v>
      </c>
      <c r="I31" s="15"/>
    </row>
    <row r="32" customFormat="false" ht="23.25" hidden="false" customHeight="true" outlineLevel="0" collapsed="false">
      <c r="A32" s="14" t="s">
        <v>535</v>
      </c>
      <c r="B32" s="14" t="s">
        <v>11</v>
      </c>
      <c r="C32" s="14" t="s">
        <v>498</v>
      </c>
      <c r="D32" s="14" t="s">
        <v>499</v>
      </c>
      <c r="E32" s="14" t="s">
        <v>500</v>
      </c>
      <c r="F32" s="15" t="s">
        <v>536</v>
      </c>
      <c r="G32" s="15" t="s">
        <v>3</v>
      </c>
      <c r="H32" s="15"/>
      <c r="I32" s="15"/>
    </row>
    <row r="33" customFormat="false" ht="23.25" hidden="false" customHeight="true" outlineLevel="0" collapsed="false">
      <c r="A33" s="14" t="s">
        <v>537</v>
      </c>
      <c r="B33" s="14" t="s">
        <v>11</v>
      </c>
      <c r="C33" s="14" t="s">
        <v>446</v>
      </c>
      <c r="D33" s="14" t="s">
        <v>447</v>
      </c>
      <c r="E33" s="14" t="s">
        <v>448</v>
      </c>
      <c r="F33" s="15" t="s">
        <v>502</v>
      </c>
      <c r="G33" s="15" t="s">
        <v>4</v>
      </c>
      <c r="H33" s="15" t="s">
        <v>503</v>
      </c>
      <c r="I33" s="15"/>
    </row>
    <row r="34" customFormat="false" ht="23.25" hidden="false" customHeight="true" outlineLevel="0" collapsed="false">
      <c r="A34" s="14" t="s">
        <v>538</v>
      </c>
      <c r="B34" s="14" t="s">
        <v>11</v>
      </c>
      <c r="C34" s="14" t="s">
        <v>451</v>
      </c>
      <c r="D34" s="14" t="s">
        <v>452</v>
      </c>
      <c r="E34" s="14" t="s">
        <v>453</v>
      </c>
      <c r="F34" s="15" t="s">
        <v>539</v>
      </c>
      <c r="G34" s="15" t="s">
        <v>3</v>
      </c>
      <c r="H34" s="15"/>
      <c r="I34" s="15"/>
    </row>
    <row r="35" customFormat="false" ht="15" hidden="false" customHeight="true" outlineLevel="0" collapsed="false">
      <c r="A35" s="14" t="s">
        <v>540</v>
      </c>
      <c r="B35" s="14" t="s">
        <v>11</v>
      </c>
      <c r="C35" s="14" t="s">
        <v>457</v>
      </c>
      <c r="D35" s="14" t="s">
        <v>458</v>
      </c>
      <c r="E35" s="14" t="s">
        <v>459</v>
      </c>
      <c r="F35" s="15" t="s">
        <v>460</v>
      </c>
      <c r="G35" s="15" t="s">
        <v>4</v>
      </c>
      <c r="H35" s="15" t="s">
        <v>461</v>
      </c>
      <c r="I35" s="15"/>
    </row>
    <row r="36" customFormat="false" ht="15" hidden="false" customHeight="true" outlineLevel="0" collapsed="false">
      <c r="A36" s="14" t="s">
        <v>541</v>
      </c>
      <c r="B36" s="14" t="s">
        <v>11</v>
      </c>
      <c r="C36" s="14" t="s">
        <v>339</v>
      </c>
      <c r="D36" s="14" t="s">
        <v>463</v>
      </c>
      <c r="E36" s="14" t="s">
        <v>464</v>
      </c>
      <c r="F36" s="15" t="s">
        <v>542</v>
      </c>
      <c r="G36" s="15" t="s">
        <v>3</v>
      </c>
      <c r="H36" s="15"/>
      <c r="I36" s="15"/>
    </row>
    <row r="37" customFormat="false" ht="23.25" hidden="false" customHeight="true" outlineLevel="0" collapsed="false">
      <c r="A37" s="14" t="s">
        <v>543</v>
      </c>
      <c r="B37" s="14" t="s">
        <v>11</v>
      </c>
      <c r="C37" s="14" t="s">
        <v>470</v>
      </c>
      <c r="D37" s="14" t="s">
        <v>471</v>
      </c>
      <c r="E37" s="14" t="s">
        <v>472</v>
      </c>
      <c r="F37" s="15" t="s">
        <v>544</v>
      </c>
      <c r="G37" s="15" t="s">
        <v>3</v>
      </c>
      <c r="H37" s="15"/>
      <c r="I37" s="15"/>
    </row>
    <row r="38" customFormat="false" ht="23.25" hidden="false" customHeight="true" outlineLevel="0" collapsed="false">
      <c r="A38" s="14" t="s">
        <v>545</v>
      </c>
      <c r="B38" s="14" t="s">
        <v>11</v>
      </c>
      <c r="C38" s="14" t="s">
        <v>546</v>
      </c>
      <c r="D38" s="14" t="s">
        <v>547</v>
      </c>
      <c r="E38" s="14" t="s">
        <v>548</v>
      </c>
      <c r="F38" s="15" t="s">
        <v>549</v>
      </c>
      <c r="G38" s="15" t="s">
        <v>7</v>
      </c>
      <c r="H38" s="15"/>
      <c r="I38" s="15"/>
    </row>
    <row r="39" customFormat="false" ht="15" hidden="false" customHeight="true" outlineLevel="0" collapsed="false">
      <c r="A39" s="12" t="s">
        <v>257</v>
      </c>
      <c r="B39" s="13"/>
      <c r="C39" s="13"/>
      <c r="D39" s="13"/>
      <c r="E39" s="13"/>
      <c r="F39" s="13"/>
      <c r="G39" s="13"/>
      <c r="H39" s="13"/>
      <c r="I39" s="13"/>
    </row>
    <row r="40" customFormat="false" ht="23.25" hidden="false" customHeight="true" outlineLevel="0" collapsed="false">
      <c r="A40" s="14" t="s">
        <v>550</v>
      </c>
      <c r="B40" s="14" t="s">
        <v>13</v>
      </c>
      <c r="C40" s="14" t="s">
        <v>476</v>
      </c>
      <c r="D40" s="14" t="s">
        <v>477</v>
      </c>
      <c r="E40" s="14" t="s">
        <v>478</v>
      </c>
      <c r="F40" s="15" t="s">
        <v>551</v>
      </c>
      <c r="G40" s="15" t="s">
        <v>3</v>
      </c>
      <c r="H40" s="15"/>
      <c r="I40" s="15"/>
    </row>
    <row r="41" customFormat="false" ht="23.25" hidden="false" customHeight="true" outlineLevel="0" collapsed="false">
      <c r="A41" s="14" t="s">
        <v>552</v>
      </c>
      <c r="B41" s="14" t="s">
        <v>13</v>
      </c>
      <c r="C41" s="14" t="s">
        <v>481</v>
      </c>
      <c r="D41" s="14" t="s">
        <v>482</v>
      </c>
      <c r="E41" s="14" t="s">
        <v>483</v>
      </c>
      <c r="F41" s="15" t="s">
        <v>553</v>
      </c>
      <c r="G41" s="15" t="s">
        <v>3</v>
      </c>
      <c r="H41" s="15"/>
      <c r="I41" s="15"/>
    </row>
    <row r="42" customFormat="false" ht="23.25" hidden="false" customHeight="true" outlineLevel="0" collapsed="false">
      <c r="A42" s="14" t="s">
        <v>554</v>
      </c>
      <c r="B42" s="14" t="s">
        <v>13</v>
      </c>
      <c r="C42" s="14" t="s">
        <v>486</v>
      </c>
      <c r="D42" s="14" t="s">
        <v>487</v>
      </c>
      <c r="E42" s="14" t="s">
        <v>488</v>
      </c>
      <c r="F42" s="15" t="s">
        <v>517</v>
      </c>
      <c r="G42" s="15" t="s">
        <v>4</v>
      </c>
      <c r="H42" s="15" t="s">
        <v>158</v>
      </c>
      <c r="I42" s="15"/>
    </row>
    <row r="43" customFormat="false" ht="15" hidden="false" customHeight="true" outlineLevel="0" collapsed="false">
      <c r="A43" s="14" t="s">
        <v>555</v>
      </c>
      <c r="B43" s="14" t="s">
        <v>13</v>
      </c>
      <c r="C43" s="14" t="s">
        <v>519</v>
      </c>
      <c r="D43" s="14" t="s">
        <v>520</v>
      </c>
      <c r="E43" s="14" t="s">
        <v>521</v>
      </c>
      <c r="F43" s="15" t="s">
        <v>556</v>
      </c>
      <c r="G43" s="15" t="s">
        <v>4</v>
      </c>
      <c r="H43" s="15" t="s">
        <v>167</v>
      </c>
      <c r="I43" s="15"/>
    </row>
    <row r="44" customFormat="false" ht="23.25" hidden="false" customHeight="true" outlineLevel="0" collapsed="false">
      <c r="A44" s="14" t="s">
        <v>557</v>
      </c>
      <c r="B44" s="14" t="s">
        <v>13</v>
      </c>
      <c r="C44" s="14" t="s">
        <v>524</v>
      </c>
      <c r="D44" s="14" t="s">
        <v>525</v>
      </c>
      <c r="E44" s="14" t="s">
        <v>526</v>
      </c>
      <c r="F44" s="15" t="s">
        <v>558</v>
      </c>
      <c r="G44" s="15" t="s">
        <v>3</v>
      </c>
      <c r="H44" s="15"/>
      <c r="I44" s="15"/>
    </row>
    <row r="45" customFormat="false" ht="15" hidden="false" customHeight="true" outlineLevel="0" collapsed="false">
      <c r="A45" s="14" t="s">
        <v>559</v>
      </c>
      <c r="B45" s="14" t="s">
        <v>13</v>
      </c>
      <c r="C45" s="14" t="s">
        <v>529</v>
      </c>
      <c r="D45" s="14" t="s">
        <v>170</v>
      </c>
      <c r="E45" s="14" t="s">
        <v>530</v>
      </c>
      <c r="F45" s="15" t="s">
        <v>558</v>
      </c>
      <c r="G45" s="15" t="s">
        <v>3</v>
      </c>
      <c r="H45" s="15"/>
      <c r="I45" s="15"/>
    </row>
    <row r="46" customFormat="false" ht="15" hidden="false" customHeight="true" outlineLevel="0" collapsed="false">
      <c r="A46" s="14" t="s">
        <v>560</v>
      </c>
      <c r="B46" s="14" t="s">
        <v>13</v>
      </c>
      <c r="C46" s="14" t="s">
        <v>491</v>
      </c>
      <c r="D46" s="14" t="s">
        <v>492</v>
      </c>
      <c r="E46" s="14" t="s">
        <v>493</v>
      </c>
      <c r="F46" s="15" t="s">
        <v>494</v>
      </c>
      <c r="G46" s="15" t="s">
        <v>4</v>
      </c>
      <c r="H46" s="15" t="s">
        <v>112</v>
      </c>
      <c r="I46" s="15"/>
    </row>
    <row r="47" customFormat="false" ht="15" hidden="false" customHeight="true" outlineLevel="0" collapsed="false">
      <c r="A47" s="14" t="s">
        <v>561</v>
      </c>
      <c r="B47" s="14" t="s">
        <v>13</v>
      </c>
      <c r="C47" s="14" t="s">
        <v>440</v>
      </c>
      <c r="D47" s="14" t="s">
        <v>441</v>
      </c>
      <c r="E47" s="14" t="s">
        <v>442</v>
      </c>
      <c r="F47" s="15" t="s">
        <v>562</v>
      </c>
      <c r="G47" s="15" t="s">
        <v>3</v>
      </c>
      <c r="H47" s="15"/>
      <c r="I47" s="15"/>
    </row>
    <row r="48" customFormat="false" ht="23.25" hidden="false" customHeight="true" outlineLevel="0" collapsed="false">
      <c r="A48" s="14" t="s">
        <v>563</v>
      </c>
      <c r="B48" s="14" t="s">
        <v>13</v>
      </c>
      <c r="C48" s="14" t="s">
        <v>498</v>
      </c>
      <c r="D48" s="14" t="s">
        <v>499</v>
      </c>
      <c r="E48" s="14" t="s">
        <v>500</v>
      </c>
      <c r="F48" s="15" t="s">
        <v>564</v>
      </c>
      <c r="G48" s="15" t="s">
        <v>3</v>
      </c>
      <c r="H48" s="15"/>
      <c r="I48" s="15"/>
    </row>
    <row r="49" customFormat="false" ht="23.25" hidden="false" customHeight="true" outlineLevel="0" collapsed="false">
      <c r="A49" s="14" t="s">
        <v>565</v>
      </c>
      <c r="B49" s="14" t="s">
        <v>13</v>
      </c>
      <c r="C49" s="14" t="s">
        <v>446</v>
      </c>
      <c r="D49" s="14" t="s">
        <v>447</v>
      </c>
      <c r="E49" s="14" t="s">
        <v>448</v>
      </c>
      <c r="F49" s="15" t="s">
        <v>502</v>
      </c>
      <c r="G49" s="15" t="s">
        <v>4</v>
      </c>
      <c r="H49" s="15" t="s">
        <v>503</v>
      </c>
      <c r="I49" s="15"/>
    </row>
    <row r="50" customFormat="false" ht="23.25" hidden="false" customHeight="true" outlineLevel="0" collapsed="false">
      <c r="A50" s="14" t="s">
        <v>566</v>
      </c>
      <c r="B50" s="14" t="s">
        <v>13</v>
      </c>
      <c r="C50" s="14" t="s">
        <v>451</v>
      </c>
      <c r="D50" s="14" t="s">
        <v>452</v>
      </c>
      <c r="E50" s="14" t="s">
        <v>453</v>
      </c>
      <c r="F50" s="15" t="s">
        <v>539</v>
      </c>
      <c r="G50" s="15" t="s">
        <v>3</v>
      </c>
      <c r="H50" s="15"/>
      <c r="I50" s="15"/>
    </row>
    <row r="51" customFormat="false" ht="15" hidden="false" customHeight="true" outlineLevel="0" collapsed="false">
      <c r="A51" s="14" t="s">
        <v>567</v>
      </c>
      <c r="B51" s="14" t="s">
        <v>13</v>
      </c>
      <c r="C51" s="14" t="s">
        <v>457</v>
      </c>
      <c r="D51" s="14" t="s">
        <v>458</v>
      </c>
      <c r="E51" s="14" t="s">
        <v>459</v>
      </c>
      <c r="F51" s="15" t="s">
        <v>460</v>
      </c>
      <c r="G51" s="15" t="s">
        <v>4</v>
      </c>
      <c r="H51" s="15" t="s">
        <v>461</v>
      </c>
      <c r="I51" s="15"/>
    </row>
    <row r="52" customFormat="false" ht="15" hidden="false" customHeight="true" outlineLevel="0" collapsed="false">
      <c r="A52" s="14" t="s">
        <v>568</v>
      </c>
      <c r="B52" s="14" t="s">
        <v>13</v>
      </c>
      <c r="C52" s="14" t="s">
        <v>339</v>
      </c>
      <c r="D52" s="14" t="s">
        <v>463</v>
      </c>
      <c r="E52" s="14" t="s">
        <v>464</v>
      </c>
      <c r="F52" s="15" t="s">
        <v>569</v>
      </c>
      <c r="G52" s="15" t="s">
        <v>3</v>
      </c>
      <c r="H52" s="15"/>
      <c r="I52" s="15"/>
    </row>
    <row r="53" customFormat="false" ht="15" hidden="false" customHeight="true" outlineLevel="0" collapsed="false">
      <c r="A53" s="14" t="s">
        <v>570</v>
      </c>
      <c r="B53" s="14" t="s">
        <v>13</v>
      </c>
      <c r="C53" s="14" t="s">
        <v>69</v>
      </c>
      <c r="D53" s="14" t="s">
        <v>466</v>
      </c>
      <c r="E53" s="14" t="s">
        <v>467</v>
      </c>
      <c r="F53" s="15" t="s">
        <v>571</v>
      </c>
      <c r="G53" s="15" t="s">
        <v>3</v>
      </c>
      <c r="H53" s="15"/>
      <c r="I53" s="15"/>
    </row>
    <row r="54" customFormat="false" ht="23.25" hidden="false" customHeight="true" outlineLevel="0" collapsed="false">
      <c r="A54" s="14" t="s">
        <v>572</v>
      </c>
      <c r="B54" s="14" t="s">
        <v>13</v>
      </c>
      <c r="C54" s="14" t="s">
        <v>470</v>
      </c>
      <c r="D54" s="14" t="s">
        <v>471</v>
      </c>
      <c r="E54" s="14" t="s">
        <v>472</v>
      </c>
      <c r="F54" s="15" t="s">
        <v>573</v>
      </c>
      <c r="G54" s="15" t="s">
        <v>3</v>
      </c>
      <c r="H54" s="15"/>
      <c r="I54" s="15"/>
    </row>
    <row r="55" customFormat="false" ht="23.25" hidden="false" customHeight="true" outlineLevel="0" collapsed="false">
      <c r="A55" s="14" t="s">
        <v>574</v>
      </c>
      <c r="B55" s="14" t="s">
        <v>13</v>
      </c>
      <c r="C55" s="14" t="s">
        <v>546</v>
      </c>
      <c r="D55" s="14" t="s">
        <v>547</v>
      </c>
      <c r="E55" s="14" t="s">
        <v>548</v>
      </c>
      <c r="F55" s="15" t="s">
        <v>549</v>
      </c>
      <c r="G55" s="15" t="s">
        <v>7</v>
      </c>
      <c r="H55" s="15"/>
      <c r="I55" s="15"/>
    </row>
    <row r="56" customFormat="false" ht="15" hidden="false" customHeight="true" outlineLevel="0" collapsed="false">
      <c r="A56" s="12" t="s">
        <v>575</v>
      </c>
      <c r="B56" s="13"/>
      <c r="C56" s="13"/>
      <c r="D56" s="13"/>
      <c r="E56" s="13"/>
      <c r="F56" s="13"/>
      <c r="G56" s="13"/>
      <c r="H56" s="13"/>
      <c r="I56" s="13"/>
    </row>
    <row r="57" customFormat="false" ht="23.25" hidden="false" customHeight="true" outlineLevel="0" collapsed="false">
      <c r="A57" s="14" t="s">
        <v>576</v>
      </c>
      <c r="B57" s="14" t="s">
        <v>577</v>
      </c>
      <c r="C57" s="14" t="s">
        <v>498</v>
      </c>
      <c r="D57" s="14" t="s">
        <v>499</v>
      </c>
      <c r="E57" s="14" t="s">
        <v>500</v>
      </c>
      <c r="F57" s="15" t="s">
        <v>578</v>
      </c>
      <c r="G57" s="15" t="s">
        <v>3</v>
      </c>
      <c r="H57" s="15"/>
      <c r="I57" s="15"/>
    </row>
    <row r="58" customFormat="false" ht="23.25" hidden="false" customHeight="true" outlineLevel="0" collapsed="false">
      <c r="A58" s="14" t="s">
        <v>579</v>
      </c>
      <c r="B58" s="14" t="s">
        <v>577</v>
      </c>
      <c r="C58" s="14" t="s">
        <v>446</v>
      </c>
      <c r="D58" s="14" t="s">
        <v>447</v>
      </c>
      <c r="E58" s="14" t="s">
        <v>448</v>
      </c>
      <c r="F58" s="15" t="s">
        <v>580</v>
      </c>
      <c r="G58" s="15" t="s">
        <v>3</v>
      </c>
      <c r="H58" s="15"/>
      <c r="I58" s="15"/>
    </row>
    <row r="59" customFormat="false" ht="23.25" hidden="false" customHeight="true" outlineLevel="0" collapsed="false">
      <c r="A59" s="14" t="s">
        <v>581</v>
      </c>
      <c r="B59" s="14" t="s">
        <v>577</v>
      </c>
      <c r="C59" s="14" t="s">
        <v>451</v>
      </c>
      <c r="D59" s="14" t="s">
        <v>452</v>
      </c>
      <c r="E59" s="14" t="s">
        <v>453</v>
      </c>
      <c r="F59" s="15" t="s">
        <v>582</v>
      </c>
      <c r="G59" s="15" t="s">
        <v>4</v>
      </c>
      <c r="H59" s="15" t="s">
        <v>583</v>
      </c>
      <c r="I59" s="15"/>
    </row>
    <row r="60" customFormat="false" ht="23.25" hidden="false" customHeight="true" outlineLevel="0" collapsed="false">
      <c r="A60" s="14" t="s">
        <v>584</v>
      </c>
      <c r="B60" s="14" t="s">
        <v>577</v>
      </c>
      <c r="C60" s="14" t="s">
        <v>457</v>
      </c>
      <c r="D60" s="14" t="s">
        <v>458</v>
      </c>
      <c r="E60" s="14" t="s">
        <v>459</v>
      </c>
      <c r="F60" s="15" t="s">
        <v>460</v>
      </c>
      <c r="G60" s="15" t="s">
        <v>4</v>
      </c>
      <c r="H60" s="15" t="s">
        <v>461</v>
      </c>
      <c r="I60" s="15"/>
    </row>
    <row r="61" customFormat="false" ht="23.25" hidden="false" customHeight="true" outlineLevel="0" collapsed="false">
      <c r="A61" s="14" t="s">
        <v>585</v>
      </c>
      <c r="B61" s="14" t="s">
        <v>577</v>
      </c>
      <c r="C61" s="14" t="s">
        <v>470</v>
      </c>
      <c r="D61" s="14" t="s">
        <v>471</v>
      </c>
      <c r="E61" s="14" t="s">
        <v>472</v>
      </c>
      <c r="F61" s="15" t="s">
        <v>586</v>
      </c>
      <c r="G61" s="15" t="s">
        <v>3</v>
      </c>
      <c r="H61" s="15"/>
      <c r="I61" s="15"/>
    </row>
  </sheetData>
  <autoFilter ref="A1:I61"/>
  <conditionalFormatting sqref="G2:G61">
    <cfRule type="cellIs" priority="2" operator="equal" aboveAverage="0" equalAverage="0" bottom="0" percent="0" rank="0" text="" dxfId="9">
      <formula>"Pass"</formula>
    </cfRule>
    <cfRule type="cellIs" priority="3" operator="equal" aboveAverage="0" equalAverage="0" bottom="0" percent="0" rank="0" text="" dxfId="10">
      <formula>"Fail"</formula>
    </cfRule>
    <cfRule type="cellIs" priority="4" operator="equal" aboveAverage="0" equalAverage="0" bottom="0" percent="0" rank="0" text="" dxfId="13">
      <formula>"N/A"</formula>
    </cfRule>
  </conditionalFormatting>
  <conditionalFormatting sqref="A2:I61">
    <cfRule type="expression" priority="5" aboveAverage="0" equalAverage="0" bottom="0" percent="0" rank="0" text="" dxfId="9">
      <formula>$G2="Pass"</formula>
    </cfRule>
    <cfRule type="expression" priority="6" aboveAverage="0" equalAverage="0" bottom="0" percent="0" rank="0" text="" dxfId="10">
      <formula>$G2="Fail"</formula>
    </cfRule>
    <cfRule type="expression" priority="7" aboveAverage="0" equalAverage="0" bottom="0" percent="0" rank="0" text="" dxfId="13">
      <formula>$G2="N/A"</formula>
    </cfRule>
    <cfRule type="expression" priority="8" aboveAverage="0" equalAverage="0" bottom="0" percent="0" rank="0" text="" dxfId="13">
      <formula>$G2="Not tested"</formula>
    </cfRule>
  </conditionalFormatting>
  <dataValidations count="1">
    <dataValidation allowBlank="true" errorStyle="stop" operator="between" showDropDown="false" showErrorMessage="false" showInputMessage="false" sqref="G2:G61" type="list">
      <formula1>"Not tested,Pass,Fail,N/A"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36"/>
    <col collapsed="false" customWidth="true" hidden="false" outlineLevel="0" max="4" min="4" style="1" width="34"/>
    <col collapsed="false" customWidth="true" hidden="false" outlineLevel="0" max="5" min="5" style="1" width="32"/>
    <col collapsed="false" customWidth="true" hidden="false" outlineLevel="0" max="6" min="6" style="1" width="11"/>
    <col collapsed="false" customWidth="true" hidden="false" outlineLevel="0" max="7" min="7" style="1" width="9"/>
    <col collapsed="false" customWidth="true" hidden="false" outlineLevel="0" max="8" min="8" style="1" width="24"/>
  </cols>
  <sheetData>
    <row r="1" customFormat="false" ht="30" hidden="false" customHeight="true" outlineLevel="0" collapsed="false">
      <c r="A1" s="11" t="s">
        <v>38</v>
      </c>
      <c r="B1" s="11" t="s">
        <v>432</v>
      </c>
      <c r="C1" s="11" t="s">
        <v>587</v>
      </c>
      <c r="D1" s="11" t="s">
        <v>588</v>
      </c>
      <c r="E1" s="11" t="s">
        <v>589</v>
      </c>
      <c r="F1" s="11" t="s">
        <v>590</v>
      </c>
      <c r="G1" s="11" t="s">
        <v>48</v>
      </c>
      <c r="H1" s="11" t="s">
        <v>50</v>
      </c>
    </row>
    <row r="2" customFormat="false" ht="15" hidden="false" customHeight="true" outlineLevel="0" collapsed="false">
      <c r="A2" s="14" t="s">
        <v>591</v>
      </c>
      <c r="B2" s="14" t="s">
        <v>439</v>
      </c>
      <c r="C2" s="14" t="s">
        <v>592</v>
      </c>
      <c r="D2" s="14" t="s">
        <v>593</v>
      </c>
      <c r="E2" s="15" t="s">
        <v>594</v>
      </c>
      <c r="F2" s="15" t="s">
        <v>595</v>
      </c>
      <c r="G2" s="15"/>
      <c r="H2" s="15"/>
    </row>
    <row r="3" customFormat="false" ht="15" hidden="false" customHeight="true" outlineLevel="0" collapsed="false">
      <c r="A3" s="14" t="s">
        <v>596</v>
      </c>
      <c r="B3" s="14" t="s">
        <v>439</v>
      </c>
      <c r="C3" s="14" t="s">
        <v>597</v>
      </c>
      <c r="D3" s="14" t="s">
        <v>598</v>
      </c>
      <c r="E3" s="15" t="s">
        <v>599</v>
      </c>
      <c r="F3" s="15" t="s">
        <v>600</v>
      </c>
      <c r="G3" s="15" t="s">
        <v>474</v>
      </c>
      <c r="H3" s="15" t="s">
        <v>601</v>
      </c>
    </row>
    <row r="4" customFormat="false" ht="15" hidden="false" customHeight="true" outlineLevel="0" collapsed="false">
      <c r="A4" s="14" t="s">
        <v>602</v>
      </c>
      <c r="B4" s="14" t="s">
        <v>603</v>
      </c>
      <c r="C4" s="14" t="s">
        <v>604</v>
      </c>
      <c r="D4" s="14" t="s">
        <v>598</v>
      </c>
      <c r="E4" s="15" t="s">
        <v>605</v>
      </c>
      <c r="F4" s="15" t="s">
        <v>595</v>
      </c>
      <c r="G4" s="15"/>
      <c r="H4" s="15"/>
    </row>
    <row r="5" customFormat="false" ht="15" hidden="false" customHeight="true" outlineLevel="0" collapsed="false">
      <c r="A5" s="14" t="s">
        <v>606</v>
      </c>
      <c r="B5" s="14" t="s">
        <v>10</v>
      </c>
      <c r="C5" s="14" t="s">
        <v>607</v>
      </c>
      <c r="D5" s="14" t="s">
        <v>608</v>
      </c>
      <c r="E5" s="15" t="s">
        <v>609</v>
      </c>
      <c r="F5" s="15" t="s">
        <v>595</v>
      </c>
      <c r="G5" s="15"/>
      <c r="H5" s="15" t="s">
        <v>610</v>
      </c>
    </row>
    <row r="6" customFormat="false" ht="15" hidden="false" customHeight="true" outlineLevel="0" collapsed="false">
      <c r="A6" s="14" t="s">
        <v>611</v>
      </c>
      <c r="B6" s="14" t="s">
        <v>10</v>
      </c>
      <c r="C6" s="14" t="s">
        <v>612</v>
      </c>
      <c r="D6" s="14" t="s">
        <v>613</v>
      </c>
      <c r="E6" s="15" t="s">
        <v>614</v>
      </c>
      <c r="F6" s="15" t="s">
        <v>595</v>
      </c>
      <c r="G6" s="15"/>
      <c r="H6" s="15"/>
    </row>
    <row r="7" customFormat="false" ht="15" hidden="false" customHeight="true" outlineLevel="0" collapsed="false">
      <c r="A7" s="14" t="s">
        <v>615</v>
      </c>
      <c r="B7" s="14" t="s">
        <v>10</v>
      </c>
      <c r="C7" s="14" t="s">
        <v>616</v>
      </c>
      <c r="D7" s="14" t="s">
        <v>617</v>
      </c>
      <c r="E7" s="15" t="s">
        <v>618</v>
      </c>
      <c r="F7" s="15" t="s">
        <v>19</v>
      </c>
      <c r="G7" s="15"/>
      <c r="H7" s="15" t="s">
        <v>311</v>
      </c>
    </row>
    <row r="8" customFormat="false" ht="15" hidden="false" customHeight="true" outlineLevel="0" collapsed="false">
      <c r="A8" s="14" t="s">
        <v>619</v>
      </c>
      <c r="B8" s="14" t="s">
        <v>10</v>
      </c>
      <c r="C8" s="14" t="s">
        <v>620</v>
      </c>
      <c r="D8" s="14" t="s">
        <v>621</v>
      </c>
      <c r="E8" s="15" t="s">
        <v>622</v>
      </c>
      <c r="F8" s="15" t="s">
        <v>19</v>
      </c>
      <c r="G8" s="15"/>
      <c r="H8" s="15"/>
    </row>
    <row r="9" customFormat="false" ht="15" hidden="false" customHeight="true" outlineLevel="0" collapsed="false">
      <c r="A9" s="14" t="s">
        <v>623</v>
      </c>
      <c r="B9" s="14" t="s">
        <v>10</v>
      </c>
      <c r="C9" s="14" t="s">
        <v>624</v>
      </c>
      <c r="D9" s="14" t="s">
        <v>625</v>
      </c>
      <c r="E9" s="15"/>
      <c r="F9" s="15"/>
      <c r="G9" s="15"/>
      <c r="H9" s="15" t="s">
        <v>626</v>
      </c>
    </row>
    <row r="10" customFormat="false" ht="15" hidden="false" customHeight="true" outlineLevel="0" collapsed="false">
      <c r="A10" s="14" t="s">
        <v>627</v>
      </c>
      <c r="B10" s="14" t="s">
        <v>11</v>
      </c>
      <c r="C10" s="14" t="s">
        <v>628</v>
      </c>
      <c r="D10" s="14" t="s">
        <v>629</v>
      </c>
      <c r="E10" s="15" t="s">
        <v>630</v>
      </c>
      <c r="F10" s="15" t="s">
        <v>595</v>
      </c>
      <c r="G10" s="15"/>
      <c r="H10" s="15"/>
    </row>
    <row r="11" customFormat="false" ht="15" hidden="false" customHeight="true" outlineLevel="0" collapsed="false">
      <c r="A11" s="14" t="s">
        <v>631</v>
      </c>
      <c r="B11" s="14" t="s">
        <v>11</v>
      </c>
      <c r="C11" s="14" t="s">
        <v>184</v>
      </c>
      <c r="D11" s="14" t="s">
        <v>632</v>
      </c>
      <c r="E11" s="15" t="s">
        <v>633</v>
      </c>
      <c r="F11" s="15" t="s">
        <v>600</v>
      </c>
      <c r="G11" s="15" t="s">
        <v>189</v>
      </c>
      <c r="H11" s="15"/>
    </row>
    <row r="12" customFormat="false" ht="15" hidden="false" customHeight="true" outlineLevel="0" collapsed="false">
      <c r="A12" s="14" t="s">
        <v>634</v>
      </c>
      <c r="B12" s="14" t="s">
        <v>11</v>
      </c>
      <c r="C12" s="14" t="s">
        <v>635</v>
      </c>
      <c r="D12" s="14" t="s">
        <v>593</v>
      </c>
      <c r="E12" s="15" t="s">
        <v>636</v>
      </c>
      <c r="F12" s="15" t="s">
        <v>595</v>
      </c>
      <c r="G12" s="15"/>
      <c r="H12" s="15" t="s">
        <v>637</v>
      </c>
    </row>
    <row r="13" customFormat="false" ht="15" hidden="false" customHeight="true" outlineLevel="0" collapsed="false">
      <c r="A13" s="14" t="s">
        <v>638</v>
      </c>
      <c r="B13" s="14" t="s">
        <v>11</v>
      </c>
      <c r="C13" s="14" t="s">
        <v>639</v>
      </c>
      <c r="D13" s="14" t="s">
        <v>598</v>
      </c>
      <c r="E13" s="15" t="s">
        <v>640</v>
      </c>
      <c r="F13" s="15" t="s">
        <v>19</v>
      </c>
      <c r="G13" s="15"/>
      <c r="H13" s="15"/>
    </row>
    <row r="14" customFormat="false" ht="15" hidden="false" customHeight="true" outlineLevel="0" collapsed="false">
      <c r="A14" s="14" t="s">
        <v>641</v>
      </c>
      <c r="B14" s="14" t="s">
        <v>13</v>
      </c>
      <c r="C14" s="14" t="s">
        <v>642</v>
      </c>
      <c r="D14" s="14" t="s">
        <v>593</v>
      </c>
      <c r="E14" s="15" t="s">
        <v>594</v>
      </c>
      <c r="F14" s="15" t="s">
        <v>595</v>
      </c>
      <c r="G14" s="15"/>
      <c r="H14" s="15"/>
    </row>
    <row r="15" customFormat="false" ht="15" hidden="false" customHeight="true" outlineLevel="0" collapsed="false">
      <c r="A15" s="14" t="s">
        <v>643</v>
      </c>
      <c r="B15" s="14" t="s">
        <v>13</v>
      </c>
      <c r="C15" s="14" t="s">
        <v>644</v>
      </c>
      <c r="D15" s="14" t="s">
        <v>645</v>
      </c>
      <c r="E15" s="15" t="s">
        <v>646</v>
      </c>
      <c r="F15" s="15" t="s">
        <v>595</v>
      </c>
      <c r="G15" s="15"/>
      <c r="H15" s="15"/>
    </row>
    <row r="16" customFormat="false" ht="15" hidden="false" customHeight="true" outlineLevel="0" collapsed="false">
      <c r="A16" s="14" t="s">
        <v>647</v>
      </c>
      <c r="B16" s="14" t="s">
        <v>13</v>
      </c>
      <c r="C16" s="14" t="s">
        <v>648</v>
      </c>
      <c r="D16" s="14" t="s">
        <v>608</v>
      </c>
      <c r="E16" s="15" t="s">
        <v>649</v>
      </c>
      <c r="F16" s="15" t="s">
        <v>19</v>
      </c>
      <c r="G16" s="15"/>
      <c r="H16" s="15"/>
    </row>
    <row r="17" customFormat="false" ht="15" hidden="false" customHeight="true" outlineLevel="0" collapsed="false">
      <c r="A17" s="14" t="s">
        <v>650</v>
      </c>
      <c r="B17" s="14" t="s">
        <v>13</v>
      </c>
      <c r="C17" s="14" t="s">
        <v>651</v>
      </c>
      <c r="D17" s="14" t="s">
        <v>632</v>
      </c>
      <c r="E17" s="15" t="s">
        <v>296</v>
      </c>
      <c r="F17" s="15" t="s">
        <v>600</v>
      </c>
      <c r="G17" s="15" t="s">
        <v>189</v>
      </c>
      <c r="H17" s="15"/>
    </row>
    <row r="18" customFormat="false" ht="23.25" hidden="false" customHeight="true" outlineLevel="0" collapsed="false">
      <c r="A18" s="14" t="s">
        <v>652</v>
      </c>
      <c r="B18" s="14" t="s">
        <v>653</v>
      </c>
      <c r="C18" s="14" t="s">
        <v>654</v>
      </c>
      <c r="D18" s="14" t="s">
        <v>598</v>
      </c>
      <c r="E18" s="15" t="s">
        <v>655</v>
      </c>
      <c r="F18" s="15" t="s">
        <v>19</v>
      </c>
      <c r="G18" s="15"/>
      <c r="H18" s="15"/>
    </row>
    <row r="19" customFormat="false" ht="15" hidden="false" customHeight="true" outlineLevel="0" collapsed="false">
      <c r="A19" s="14" t="s">
        <v>656</v>
      </c>
      <c r="B19" s="14" t="s">
        <v>657</v>
      </c>
      <c r="C19" s="14" t="s">
        <v>658</v>
      </c>
      <c r="D19" s="14" t="s">
        <v>659</v>
      </c>
      <c r="E19" s="15" t="s">
        <v>660</v>
      </c>
      <c r="F19" s="15" t="s">
        <v>19</v>
      </c>
      <c r="G19" s="15"/>
      <c r="H19" s="15"/>
    </row>
    <row r="20" customFormat="false" ht="15" hidden="false" customHeight="true" outlineLevel="0" collapsed="false">
      <c r="A20" s="14" t="s">
        <v>661</v>
      </c>
      <c r="B20" s="15" t="s">
        <v>662</v>
      </c>
      <c r="C20" s="15" t="s">
        <v>663</v>
      </c>
      <c r="D20" s="15" t="s">
        <v>664</v>
      </c>
      <c r="E20" s="15" t="s">
        <v>664</v>
      </c>
      <c r="F20" s="15" t="s">
        <v>595</v>
      </c>
      <c r="G20" s="15"/>
      <c r="H20" s="15"/>
    </row>
    <row r="21" customFormat="false" ht="15" hidden="false" customHeight="true" outlineLevel="0" collapsed="false">
      <c r="A21" s="14" t="s">
        <v>665</v>
      </c>
      <c r="B21" s="15" t="s">
        <v>662</v>
      </c>
      <c r="C21" s="15" t="s">
        <v>666</v>
      </c>
      <c r="D21" s="15" t="s">
        <v>667</v>
      </c>
      <c r="E21" s="15" t="s">
        <v>667</v>
      </c>
      <c r="F21" s="15" t="s">
        <v>595</v>
      </c>
      <c r="G21" s="15"/>
      <c r="H21" s="15"/>
    </row>
    <row r="22" customFormat="false" ht="15" hidden="false" customHeight="true" outlineLevel="0" collapsed="false">
      <c r="A22" s="14" t="s">
        <v>668</v>
      </c>
      <c r="B22" s="15" t="s">
        <v>10</v>
      </c>
      <c r="C22" s="15" t="s">
        <v>669</v>
      </c>
      <c r="D22" s="15" t="s">
        <v>670</v>
      </c>
      <c r="E22" s="15" t="s">
        <v>670</v>
      </c>
      <c r="F22" s="15" t="s">
        <v>595</v>
      </c>
      <c r="G22" s="15"/>
      <c r="H22" s="15"/>
    </row>
    <row r="23" customFormat="false" ht="15" hidden="false" customHeight="true" outlineLevel="0" collapsed="false">
      <c r="A23" s="14" t="s">
        <v>671</v>
      </c>
      <c r="B23" s="15" t="s">
        <v>13</v>
      </c>
      <c r="C23" s="15" t="s">
        <v>672</v>
      </c>
      <c r="D23" s="15" t="s">
        <v>594</v>
      </c>
      <c r="E23" s="15" t="s">
        <v>594</v>
      </c>
      <c r="F23" s="15" t="s">
        <v>595</v>
      </c>
      <c r="G23" s="15"/>
      <c r="H23" s="15"/>
    </row>
    <row r="24" customFormat="false" ht="15" hidden="false" customHeight="true" outlineLevel="0" collapsed="false">
      <c r="A24" s="14" t="s">
        <v>673</v>
      </c>
      <c r="B24" s="15" t="s">
        <v>674</v>
      </c>
      <c r="C24" s="15" t="s">
        <v>675</v>
      </c>
      <c r="D24" s="15" t="s">
        <v>676</v>
      </c>
      <c r="E24" s="15" t="s">
        <v>676</v>
      </c>
      <c r="F24" s="15" t="s">
        <v>595</v>
      </c>
      <c r="G24" s="15"/>
      <c r="H24" s="15"/>
    </row>
    <row r="25" customFormat="false" ht="15" hidden="false" customHeight="true" outlineLevel="0" collapsed="false">
      <c r="A25" s="14" t="s">
        <v>677</v>
      </c>
      <c r="B25" s="15"/>
      <c r="C25" s="15"/>
      <c r="D25" s="15"/>
      <c r="E25" s="15"/>
      <c r="F25" s="15"/>
      <c r="G25" s="15"/>
      <c r="H25" s="15"/>
    </row>
    <row r="26" customFormat="false" ht="15" hidden="false" customHeight="true" outlineLevel="0" collapsed="false">
      <c r="A26" s="14" t="s">
        <v>678</v>
      </c>
      <c r="B26" s="15"/>
      <c r="C26" s="15"/>
      <c r="D26" s="15"/>
      <c r="E26" s="15"/>
      <c r="F26" s="15"/>
      <c r="G26" s="15"/>
      <c r="H26" s="15"/>
    </row>
    <row r="27" customFormat="false" ht="15" hidden="false" customHeight="true" outlineLevel="0" collapsed="false">
      <c r="A27" s="14" t="s">
        <v>679</v>
      </c>
      <c r="B27" s="15"/>
      <c r="C27" s="15"/>
      <c r="D27" s="15"/>
      <c r="E27" s="15"/>
      <c r="F27" s="15"/>
      <c r="G27" s="15"/>
      <c r="H27" s="15"/>
    </row>
    <row r="28" customFormat="false" ht="15" hidden="false" customHeight="true" outlineLevel="0" collapsed="false">
      <c r="A28" s="14" t="s">
        <v>680</v>
      </c>
      <c r="B28" s="15"/>
      <c r="C28" s="15"/>
      <c r="D28" s="15"/>
      <c r="E28" s="15"/>
      <c r="F28" s="15"/>
      <c r="G28" s="15"/>
      <c r="H28" s="15"/>
    </row>
    <row r="29" customFormat="false" ht="15" hidden="false" customHeight="true" outlineLevel="0" collapsed="false">
      <c r="A29" s="14" t="s">
        <v>681</v>
      </c>
      <c r="B29" s="15"/>
      <c r="C29" s="15"/>
      <c r="D29" s="15"/>
      <c r="E29" s="15"/>
      <c r="F29" s="15"/>
      <c r="G29" s="15"/>
      <c r="H29" s="15"/>
    </row>
    <row r="31" customFormat="false" ht="15" hidden="false" customHeight="true" outlineLevel="0" collapsed="false">
      <c r="A31" s="16" t="s">
        <v>682</v>
      </c>
    </row>
  </sheetData>
  <conditionalFormatting sqref="F2:F29">
    <cfRule type="cellIs" priority="2" operator="equal" aboveAverage="0" equalAverage="0" bottom="0" percent="0" rank="0" text="" dxfId="9">
      <formula>"Yes"</formula>
    </cfRule>
    <cfRule type="cellIs" priority="3" operator="equal" aboveAverage="0" equalAverage="0" bottom="0" percent="0" rank="0" text="" dxfId="10">
      <formula>"No"</formula>
    </cfRule>
    <cfRule type="cellIs" priority="4" operator="equal" aboveAverage="0" equalAverage="0" bottom="0" percent="0" rank="0" text="" dxfId="13">
      <formula>"N/A"</formula>
    </cfRule>
  </conditionalFormatting>
  <conditionalFormatting sqref="A2:H31">
    <cfRule type="expression" priority="5" aboveAverage="0" equalAverage="0" bottom="0" percent="0" rank="0" text="" dxfId="9">
      <formula>$F2="Yes"</formula>
    </cfRule>
    <cfRule type="expression" priority="6" aboveAverage="0" equalAverage="0" bottom="0" percent="0" rank="0" text="" dxfId="10">
      <formula>$F2="No"</formula>
    </cfRule>
    <cfRule type="expression" priority="7" aboveAverage="0" equalAverage="0" bottom="0" percent="0" rank="0" text="" dxfId="13">
      <formula>$F2="N/A"</formula>
    </cfRule>
  </conditionalFormatting>
  <dataValidations count="1">
    <dataValidation allowBlank="true" errorStyle="stop" operator="between" showDropDown="false" showErrorMessage="false" showInputMessage="false" sqref="F2:F29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36"/>
    <col collapsed="false" customWidth="true" hidden="false" outlineLevel="0" max="7" min="6" style="1" width="28"/>
    <col collapsed="false" customWidth="true" hidden="false" outlineLevel="0" max="8" min="8" style="1" width="10"/>
    <col collapsed="false" customWidth="true" hidden="false" outlineLevel="0" max="9" min="9" style="1" width="18"/>
    <col collapsed="false" customWidth="true" hidden="false" outlineLevel="0" max="10" min="10" style="1" width="14"/>
    <col collapsed="false" customWidth="true" hidden="false" outlineLevel="0" max="11" min="11" style="1" width="13"/>
    <col collapsed="false" customWidth="true" hidden="false" outlineLevel="0" max="12" min="12" style="1" width="11"/>
  </cols>
  <sheetData>
    <row r="1" customFormat="false" ht="30" hidden="false" customHeight="true" outlineLevel="0" collapsed="false">
      <c r="A1" s="11" t="s">
        <v>48</v>
      </c>
      <c r="B1" s="11" t="s">
        <v>683</v>
      </c>
      <c r="C1" s="11" t="s">
        <v>684</v>
      </c>
      <c r="D1" s="11" t="s">
        <v>432</v>
      </c>
      <c r="E1" s="11" t="s">
        <v>685</v>
      </c>
      <c r="F1" s="11" t="s">
        <v>686</v>
      </c>
      <c r="G1" s="11" t="s">
        <v>687</v>
      </c>
      <c r="H1" s="11" t="s">
        <v>688</v>
      </c>
      <c r="I1" s="11" t="s">
        <v>689</v>
      </c>
      <c r="J1" s="11" t="s">
        <v>690</v>
      </c>
      <c r="K1" s="11" t="s">
        <v>691</v>
      </c>
      <c r="L1" s="11" t="s">
        <v>692</v>
      </c>
    </row>
    <row r="2" customFormat="false" ht="34.5" hidden="false" customHeight="true" outlineLevel="0" collapsed="false">
      <c r="A2" s="17" t="s">
        <v>693</v>
      </c>
      <c r="B2" s="17" t="s">
        <v>694</v>
      </c>
      <c r="C2" s="17" t="s">
        <v>695</v>
      </c>
      <c r="D2" s="17" t="s">
        <v>10</v>
      </c>
      <c r="E2" s="17" t="s">
        <v>696</v>
      </c>
      <c r="F2" s="17" t="s">
        <v>697</v>
      </c>
      <c r="G2" s="17" t="s">
        <v>698</v>
      </c>
      <c r="H2" s="17" t="s">
        <v>24</v>
      </c>
      <c r="I2" s="17" t="s">
        <v>699</v>
      </c>
      <c r="J2" s="17" t="s">
        <v>700</v>
      </c>
      <c r="K2" s="17" t="s">
        <v>27</v>
      </c>
      <c r="L2" s="17" t="s">
        <v>701</v>
      </c>
    </row>
    <row r="3" customFormat="false" ht="15" hidden="false" customHeight="true" outlineLevel="0" collapsed="false">
      <c r="A3" s="14" t="s">
        <v>702</v>
      </c>
      <c r="B3" s="15" t="s">
        <v>703</v>
      </c>
      <c r="C3" s="15" t="s">
        <v>704</v>
      </c>
      <c r="D3" s="15" t="s">
        <v>705</v>
      </c>
      <c r="E3" s="15" t="s">
        <v>706</v>
      </c>
      <c r="F3" s="15" t="s">
        <v>707</v>
      </c>
      <c r="G3" s="15" t="s">
        <v>708</v>
      </c>
      <c r="H3" s="15" t="s">
        <v>26</v>
      </c>
      <c r="I3" s="15"/>
      <c r="J3" s="15"/>
      <c r="K3" s="15" t="s">
        <v>27</v>
      </c>
      <c r="L3" s="15" t="s">
        <v>60</v>
      </c>
    </row>
    <row r="4" customFormat="false" ht="15" hidden="false" customHeight="true" outlineLevel="0" collapsed="false">
      <c r="A4" s="14" t="s">
        <v>709</v>
      </c>
      <c r="B4" s="15" t="s">
        <v>710</v>
      </c>
      <c r="C4" s="15" t="s">
        <v>67</v>
      </c>
      <c r="D4" s="15" t="s">
        <v>662</v>
      </c>
      <c r="E4" s="15" t="s">
        <v>711</v>
      </c>
      <c r="F4" s="15" t="s">
        <v>712</v>
      </c>
      <c r="G4" s="15" t="s">
        <v>713</v>
      </c>
      <c r="H4" s="15" t="s">
        <v>26</v>
      </c>
      <c r="I4" s="15"/>
      <c r="J4" s="15"/>
      <c r="K4" s="15" t="s">
        <v>27</v>
      </c>
      <c r="L4" s="15" t="s">
        <v>60</v>
      </c>
    </row>
    <row r="5" customFormat="false" ht="15" hidden="false" customHeight="true" outlineLevel="0" collapsed="false">
      <c r="A5" s="14" t="s">
        <v>158</v>
      </c>
      <c r="B5" s="15" t="s">
        <v>714</v>
      </c>
      <c r="C5" s="15" t="s">
        <v>715</v>
      </c>
      <c r="D5" s="15" t="s">
        <v>716</v>
      </c>
      <c r="E5" s="15" t="s">
        <v>717</v>
      </c>
      <c r="F5" s="15" t="s">
        <v>718</v>
      </c>
      <c r="G5" s="15" t="s">
        <v>719</v>
      </c>
      <c r="H5" s="15" t="s">
        <v>25</v>
      </c>
      <c r="I5" s="15"/>
      <c r="J5" s="15"/>
      <c r="K5" s="15" t="s">
        <v>27</v>
      </c>
      <c r="L5" s="15" t="s">
        <v>60</v>
      </c>
    </row>
    <row r="6" customFormat="false" ht="15" hidden="false" customHeight="true" outlineLevel="0" collapsed="false">
      <c r="A6" s="14" t="s">
        <v>96</v>
      </c>
      <c r="B6" s="15" t="s">
        <v>720</v>
      </c>
      <c r="C6" s="15" t="s">
        <v>90</v>
      </c>
      <c r="D6" s="15" t="s">
        <v>10</v>
      </c>
      <c r="E6" s="15" t="s">
        <v>721</v>
      </c>
      <c r="F6" s="15" t="s">
        <v>722</v>
      </c>
      <c r="G6" s="15" t="s">
        <v>723</v>
      </c>
      <c r="H6" s="15" t="s">
        <v>25</v>
      </c>
      <c r="I6" s="15"/>
      <c r="J6" s="15"/>
      <c r="K6" s="15" t="s">
        <v>27</v>
      </c>
      <c r="L6" s="15" t="s">
        <v>60</v>
      </c>
    </row>
    <row r="7" customFormat="false" ht="15" hidden="false" customHeight="true" outlineLevel="0" collapsed="false">
      <c r="A7" s="14" t="s">
        <v>167</v>
      </c>
      <c r="B7" s="15" t="s">
        <v>724</v>
      </c>
      <c r="C7" s="15" t="s">
        <v>725</v>
      </c>
      <c r="D7" s="15" t="s">
        <v>726</v>
      </c>
      <c r="E7" s="15" t="s">
        <v>727</v>
      </c>
      <c r="F7" s="15" t="s">
        <v>728</v>
      </c>
      <c r="G7" s="15" t="s">
        <v>729</v>
      </c>
      <c r="H7" s="15" t="s">
        <v>25</v>
      </c>
      <c r="I7" s="15"/>
      <c r="J7" s="15"/>
      <c r="K7" s="15" t="s">
        <v>27</v>
      </c>
      <c r="L7" s="15" t="s">
        <v>60</v>
      </c>
    </row>
    <row r="8" customFormat="false" ht="15" hidden="false" customHeight="true" outlineLevel="0" collapsed="false">
      <c r="A8" s="14" t="s">
        <v>189</v>
      </c>
      <c r="B8" s="15" t="s">
        <v>730</v>
      </c>
      <c r="C8" s="15" t="s">
        <v>731</v>
      </c>
      <c r="D8" s="15" t="s">
        <v>726</v>
      </c>
      <c r="E8" s="15" t="s">
        <v>732</v>
      </c>
      <c r="F8" s="15" t="s">
        <v>733</v>
      </c>
      <c r="G8" s="15" t="s">
        <v>734</v>
      </c>
      <c r="H8" s="15" t="s">
        <v>24</v>
      </c>
      <c r="I8" s="15"/>
      <c r="J8" s="15"/>
      <c r="K8" s="15" t="s">
        <v>27</v>
      </c>
      <c r="L8" s="15" t="s">
        <v>60</v>
      </c>
    </row>
    <row r="9" customFormat="false" ht="15" hidden="false" customHeight="true" outlineLevel="0" collapsed="false">
      <c r="A9" s="14" t="s">
        <v>112</v>
      </c>
      <c r="B9" s="15" t="s">
        <v>735</v>
      </c>
      <c r="C9" s="15" t="s">
        <v>736</v>
      </c>
      <c r="D9" s="15" t="s">
        <v>716</v>
      </c>
      <c r="E9" s="15" t="s">
        <v>737</v>
      </c>
      <c r="F9" s="15" t="s">
        <v>738</v>
      </c>
      <c r="G9" s="15" t="s">
        <v>739</v>
      </c>
      <c r="H9" s="15" t="s">
        <v>24</v>
      </c>
      <c r="I9" s="15"/>
      <c r="J9" s="15"/>
      <c r="K9" s="15" t="s">
        <v>27</v>
      </c>
      <c r="L9" s="15" t="s">
        <v>60</v>
      </c>
    </row>
    <row r="10" customFormat="false" ht="15" hidden="false" customHeight="true" outlineLevel="0" collapsed="false">
      <c r="A10" s="14" t="s">
        <v>125</v>
      </c>
      <c r="B10" s="15" t="s">
        <v>740</v>
      </c>
      <c r="C10" s="15" t="s">
        <v>119</v>
      </c>
      <c r="D10" s="15" t="s">
        <v>10</v>
      </c>
      <c r="E10" s="15" t="s">
        <v>741</v>
      </c>
      <c r="F10" s="15" t="s">
        <v>742</v>
      </c>
      <c r="G10" s="15" t="s">
        <v>743</v>
      </c>
      <c r="H10" s="15" t="s">
        <v>25</v>
      </c>
      <c r="I10" s="15"/>
      <c r="J10" s="15"/>
      <c r="K10" s="15" t="s">
        <v>27</v>
      </c>
      <c r="L10" s="15" t="s">
        <v>60</v>
      </c>
    </row>
    <row r="11" customFormat="false" ht="15" hidden="false" customHeight="true" outlineLevel="0" collapsed="false">
      <c r="A11" s="14" t="s">
        <v>474</v>
      </c>
      <c r="B11" s="15" t="s">
        <v>744</v>
      </c>
      <c r="C11" s="15" t="s">
        <v>745</v>
      </c>
      <c r="D11" s="15" t="s">
        <v>439</v>
      </c>
      <c r="E11" s="15" t="s">
        <v>746</v>
      </c>
      <c r="F11" s="15" t="s">
        <v>747</v>
      </c>
      <c r="G11" s="15" t="s">
        <v>748</v>
      </c>
      <c r="H11" s="15" t="s">
        <v>24</v>
      </c>
      <c r="I11" s="15"/>
      <c r="J11" s="15"/>
      <c r="K11" s="15" t="s">
        <v>27</v>
      </c>
      <c r="L11" s="15" t="s">
        <v>60</v>
      </c>
    </row>
    <row r="12" customFormat="false" ht="15" hidden="false" customHeight="true" outlineLevel="0" collapsed="false">
      <c r="A12" s="14" t="s">
        <v>455</v>
      </c>
      <c r="B12" s="15" t="s">
        <v>749</v>
      </c>
      <c r="C12" s="15" t="s">
        <v>750</v>
      </c>
      <c r="D12" s="15" t="s">
        <v>751</v>
      </c>
      <c r="E12" s="15" t="s">
        <v>752</v>
      </c>
      <c r="F12" s="15" t="s">
        <v>753</v>
      </c>
      <c r="G12" s="15" t="s">
        <v>754</v>
      </c>
      <c r="H12" s="15" t="s">
        <v>25</v>
      </c>
      <c r="I12" s="15"/>
      <c r="J12" s="15"/>
      <c r="K12" s="15" t="s">
        <v>27</v>
      </c>
      <c r="L12" s="15" t="s">
        <v>60</v>
      </c>
    </row>
    <row r="13" customFormat="false" ht="15" hidden="false" customHeight="true" outlineLevel="0" collapsed="false">
      <c r="A13" s="14" t="s">
        <v>755</v>
      </c>
      <c r="B13" s="15" t="s">
        <v>756</v>
      </c>
      <c r="C13" s="15" t="s">
        <v>757</v>
      </c>
      <c r="D13" s="15" t="s">
        <v>439</v>
      </c>
      <c r="E13" s="15" t="s">
        <v>758</v>
      </c>
      <c r="F13" s="15" t="s">
        <v>759</v>
      </c>
      <c r="G13" s="15" t="s">
        <v>760</v>
      </c>
      <c r="H13" s="15" t="s">
        <v>25</v>
      </c>
      <c r="I13" s="15"/>
      <c r="J13" s="15"/>
      <c r="K13" s="15" t="s">
        <v>27</v>
      </c>
      <c r="L13" s="15" t="s">
        <v>60</v>
      </c>
    </row>
    <row r="14" customFormat="false" ht="15" hidden="false" customHeight="true" outlineLevel="0" collapsed="false">
      <c r="A14" s="14" t="s">
        <v>583</v>
      </c>
      <c r="B14" s="15" t="s">
        <v>761</v>
      </c>
      <c r="C14" s="15" t="s">
        <v>750</v>
      </c>
      <c r="D14" s="15" t="s">
        <v>762</v>
      </c>
      <c r="E14" s="15" t="s">
        <v>763</v>
      </c>
      <c r="F14" s="15" t="s">
        <v>764</v>
      </c>
      <c r="G14" s="15" t="s">
        <v>765</v>
      </c>
      <c r="H14" s="15" t="s">
        <v>26</v>
      </c>
      <c r="I14" s="15"/>
      <c r="J14" s="15"/>
      <c r="K14" s="15" t="s">
        <v>27</v>
      </c>
      <c r="L14" s="15" t="s">
        <v>60</v>
      </c>
    </row>
    <row r="15" customFormat="false" ht="15" hidden="false" customHeight="true" outlineLevel="0" collapsed="false">
      <c r="A15" s="14" t="s">
        <v>249</v>
      </c>
      <c r="B15" s="15" t="s">
        <v>766</v>
      </c>
      <c r="C15" s="15" t="s">
        <v>244</v>
      </c>
      <c r="D15" s="15" t="s">
        <v>767</v>
      </c>
      <c r="E15" s="15" t="s">
        <v>768</v>
      </c>
      <c r="F15" s="15" t="s">
        <v>769</v>
      </c>
      <c r="G15" s="15" t="s">
        <v>770</v>
      </c>
      <c r="H15" s="15" t="s">
        <v>26</v>
      </c>
      <c r="I15" s="15"/>
      <c r="J15" s="15"/>
      <c r="K15" s="15" t="s">
        <v>27</v>
      </c>
      <c r="L15" s="15" t="s">
        <v>60</v>
      </c>
    </row>
    <row r="16" customFormat="false" ht="15" hidden="false" customHeight="true" outlineLevel="0" collapsed="false">
      <c r="A16" s="14" t="s">
        <v>277</v>
      </c>
      <c r="B16" s="15" t="s">
        <v>771</v>
      </c>
      <c r="C16" s="15" t="s">
        <v>271</v>
      </c>
      <c r="D16" s="15" t="s">
        <v>13</v>
      </c>
      <c r="E16" s="15" t="s">
        <v>772</v>
      </c>
      <c r="F16" s="15" t="s">
        <v>773</v>
      </c>
      <c r="G16" s="15" t="s">
        <v>774</v>
      </c>
      <c r="H16" s="15" t="s">
        <v>26</v>
      </c>
      <c r="I16" s="15"/>
      <c r="J16" s="15"/>
      <c r="K16" s="15" t="s">
        <v>27</v>
      </c>
      <c r="L16" s="15" t="s">
        <v>60</v>
      </c>
    </row>
    <row r="17" customFormat="false" ht="15" hidden="false" customHeight="true" outlineLevel="0" collapsed="false">
      <c r="A17" s="14" t="s">
        <v>775</v>
      </c>
      <c r="B17" s="15" t="s">
        <v>776</v>
      </c>
      <c r="C17" s="15" t="s">
        <v>416</v>
      </c>
      <c r="D17" s="15" t="s">
        <v>10</v>
      </c>
      <c r="E17" s="15" t="s">
        <v>777</v>
      </c>
      <c r="F17" s="15" t="s">
        <v>778</v>
      </c>
      <c r="G17" s="15" t="s">
        <v>779</v>
      </c>
      <c r="H17" s="15" t="s">
        <v>25</v>
      </c>
      <c r="I17" s="15" t="s">
        <v>780</v>
      </c>
      <c r="J17" s="15"/>
      <c r="K17" s="15" t="s">
        <v>781</v>
      </c>
      <c r="L17" s="15" t="s">
        <v>60</v>
      </c>
    </row>
    <row r="18" customFormat="false" ht="15" hidden="false" customHeight="true" outlineLevel="0" collapsed="false">
      <c r="A18" s="14" t="s">
        <v>782</v>
      </c>
      <c r="B18" s="15" t="s">
        <v>783</v>
      </c>
      <c r="C18" s="15" t="s">
        <v>424</v>
      </c>
      <c r="D18" s="15" t="s">
        <v>10</v>
      </c>
      <c r="E18" s="15" t="s">
        <v>784</v>
      </c>
      <c r="F18" s="15" t="s">
        <v>785</v>
      </c>
      <c r="G18" s="15" t="s">
        <v>786</v>
      </c>
      <c r="H18" s="15" t="s">
        <v>26</v>
      </c>
      <c r="I18" s="15" t="s">
        <v>787</v>
      </c>
      <c r="J18" s="15"/>
      <c r="K18" s="15" t="s">
        <v>781</v>
      </c>
      <c r="L18" s="15" t="s">
        <v>60</v>
      </c>
    </row>
    <row r="19" customFormat="false" ht="15" hidden="false" customHeight="true" outlineLevel="0" collapsed="false">
      <c r="A19" s="14" t="s">
        <v>788</v>
      </c>
      <c r="B19" s="15" t="s">
        <v>789</v>
      </c>
      <c r="C19" s="15" t="s">
        <v>790</v>
      </c>
      <c r="D19" s="15" t="s">
        <v>791</v>
      </c>
      <c r="E19" s="15" t="s">
        <v>792</v>
      </c>
      <c r="F19" s="15" t="s">
        <v>793</v>
      </c>
      <c r="G19" s="15" t="s">
        <v>794</v>
      </c>
      <c r="H19" s="15" t="s">
        <v>25</v>
      </c>
      <c r="I19" s="15" t="s">
        <v>795</v>
      </c>
      <c r="J19" s="15"/>
      <c r="K19" s="15" t="s">
        <v>781</v>
      </c>
      <c r="L19" s="15" t="s">
        <v>60</v>
      </c>
    </row>
    <row r="20" customFormat="false" ht="15" hidden="false" customHeight="true" outlineLevel="0" collapsed="false">
      <c r="A20" s="14" t="s">
        <v>796</v>
      </c>
      <c r="B20" s="15" t="s">
        <v>797</v>
      </c>
      <c r="C20" s="15" t="s">
        <v>298</v>
      </c>
      <c r="D20" s="15" t="s">
        <v>10</v>
      </c>
      <c r="E20" s="15" t="s">
        <v>798</v>
      </c>
      <c r="F20" s="15" t="s">
        <v>799</v>
      </c>
      <c r="G20" s="15" t="s">
        <v>800</v>
      </c>
      <c r="H20" s="15" t="s">
        <v>25</v>
      </c>
      <c r="I20" s="15" t="s">
        <v>801</v>
      </c>
      <c r="J20" s="15"/>
      <c r="K20" s="15" t="s">
        <v>781</v>
      </c>
      <c r="L20" s="15" t="s">
        <v>60</v>
      </c>
    </row>
    <row r="21" customFormat="false" ht="15" hidden="false" customHeight="true" outlineLevel="0" collapsed="false">
      <c r="A21" s="14" t="s">
        <v>802</v>
      </c>
      <c r="B21" s="15" t="s">
        <v>803</v>
      </c>
      <c r="C21" s="15" t="s">
        <v>298</v>
      </c>
      <c r="D21" s="15" t="s">
        <v>716</v>
      </c>
      <c r="E21" s="15" t="s">
        <v>804</v>
      </c>
      <c r="F21" s="15" t="s">
        <v>805</v>
      </c>
      <c r="G21" s="15" t="s">
        <v>806</v>
      </c>
      <c r="H21" s="15" t="s">
        <v>26</v>
      </c>
      <c r="I21" s="15" t="s">
        <v>807</v>
      </c>
      <c r="J21" s="15"/>
      <c r="K21" s="15" t="s">
        <v>781</v>
      </c>
      <c r="L21" s="15" t="s">
        <v>60</v>
      </c>
    </row>
    <row r="22" customFormat="false" ht="15" hidden="false" customHeight="true" outlineLevel="0" collapsed="false">
      <c r="A22" s="14" t="s">
        <v>808</v>
      </c>
      <c r="B22" s="15" t="s">
        <v>809</v>
      </c>
      <c r="C22" s="15" t="s">
        <v>298</v>
      </c>
      <c r="D22" s="15" t="s">
        <v>810</v>
      </c>
      <c r="E22" s="15" t="s">
        <v>811</v>
      </c>
      <c r="F22" s="15" t="s">
        <v>812</v>
      </c>
      <c r="G22" s="15" t="s">
        <v>813</v>
      </c>
      <c r="H22" s="15" t="s">
        <v>26</v>
      </c>
      <c r="I22" s="15" t="s">
        <v>814</v>
      </c>
      <c r="J22" s="15"/>
      <c r="K22" s="15" t="s">
        <v>781</v>
      </c>
      <c r="L22" s="15" t="s">
        <v>60</v>
      </c>
    </row>
    <row r="23" customFormat="false" ht="15" hidden="false" customHeight="true" outlineLevel="0" collapsed="false">
      <c r="A23" s="14" t="s">
        <v>461</v>
      </c>
      <c r="B23" s="15" t="s">
        <v>815</v>
      </c>
      <c r="C23" s="15" t="s">
        <v>790</v>
      </c>
      <c r="D23" s="15" t="s">
        <v>810</v>
      </c>
      <c r="E23" s="15" t="s">
        <v>816</v>
      </c>
      <c r="F23" s="15" t="s">
        <v>817</v>
      </c>
      <c r="G23" s="15" t="s">
        <v>818</v>
      </c>
      <c r="H23" s="15" t="s">
        <v>25</v>
      </c>
      <c r="I23" s="15"/>
      <c r="J23" s="15"/>
      <c r="K23" s="15" t="s">
        <v>27</v>
      </c>
      <c r="L23" s="15" t="s">
        <v>60</v>
      </c>
    </row>
    <row r="24" customFormat="false" ht="15" hidden="false" customHeight="true" outlineLevel="0" collapsed="false">
      <c r="A24" s="14" t="s">
        <v>819</v>
      </c>
      <c r="B24" s="15" t="s">
        <v>820</v>
      </c>
      <c r="C24" s="15" t="s">
        <v>821</v>
      </c>
      <c r="D24" s="15" t="s">
        <v>11</v>
      </c>
      <c r="E24" s="15" t="s">
        <v>822</v>
      </c>
      <c r="F24" s="15" t="s">
        <v>823</v>
      </c>
      <c r="G24" s="15" t="s">
        <v>824</v>
      </c>
      <c r="H24" s="15" t="s">
        <v>26</v>
      </c>
      <c r="I24" s="15"/>
      <c r="J24" s="15"/>
      <c r="K24" s="15" t="s">
        <v>27</v>
      </c>
      <c r="L24" s="15" t="s">
        <v>60</v>
      </c>
    </row>
    <row r="25" customFormat="false" ht="15" hidden="false" customHeight="true" outlineLevel="0" collapsed="false">
      <c r="A25" s="14" t="s">
        <v>444</v>
      </c>
      <c r="B25" s="15" t="s">
        <v>825</v>
      </c>
      <c r="C25" s="15" t="s">
        <v>826</v>
      </c>
      <c r="D25" s="15" t="s">
        <v>827</v>
      </c>
      <c r="E25" s="15" t="s">
        <v>828</v>
      </c>
      <c r="F25" s="15" t="s">
        <v>829</v>
      </c>
      <c r="G25" s="15" t="s">
        <v>830</v>
      </c>
      <c r="H25" s="15" t="s">
        <v>26</v>
      </c>
      <c r="I25" s="15"/>
      <c r="J25" s="15"/>
      <c r="K25" s="15" t="s">
        <v>27</v>
      </c>
      <c r="L25" s="15" t="s">
        <v>60</v>
      </c>
    </row>
    <row r="26" customFormat="false" ht="15" hidden="false" customHeight="true" outlineLevel="0" collapsed="false">
      <c r="A26" s="14" t="s">
        <v>503</v>
      </c>
      <c r="B26" s="15" t="s">
        <v>831</v>
      </c>
      <c r="C26" s="15" t="s">
        <v>832</v>
      </c>
      <c r="D26" s="15" t="s">
        <v>716</v>
      </c>
      <c r="E26" s="15" t="s">
        <v>833</v>
      </c>
      <c r="F26" s="15" t="s">
        <v>834</v>
      </c>
      <c r="G26" s="15" t="s">
        <v>835</v>
      </c>
      <c r="H26" s="15" t="s">
        <v>26</v>
      </c>
      <c r="I26" s="15"/>
      <c r="J26" s="15"/>
      <c r="K26" s="15" t="s">
        <v>27</v>
      </c>
      <c r="L26" s="15" t="s">
        <v>60</v>
      </c>
    </row>
    <row r="27" customFormat="false" ht="15" hidden="false" customHeight="true" outlineLevel="0" collapsed="false">
      <c r="A27" s="14" t="s">
        <v>357</v>
      </c>
      <c r="B27" s="15" t="s">
        <v>836</v>
      </c>
      <c r="C27" s="15" t="s">
        <v>837</v>
      </c>
      <c r="D27" s="15" t="s">
        <v>10</v>
      </c>
      <c r="E27" s="15" t="s">
        <v>838</v>
      </c>
      <c r="F27" s="15" t="s">
        <v>839</v>
      </c>
      <c r="G27" s="15" t="s">
        <v>840</v>
      </c>
      <c r="H27" s="15" t="s">
        <v>24</v>
      </c>
      <c r="I27" s="15" t="s">
        <v>841</v>
      </c>
      <c r="J27" s="15"/>
      <c r="K27" s="15" t="s">
        <v>27</v>
      </c>
      <c r="L27" s="15" t="s">
        <v>60</v>
      </c>
    </row>
    <row r="28" customFormat="false" ht="15" hidden="false" customHeight="true" outlineLevel="0" collapsed="false">
      <c r="A28" s="14" t="s">
        <v>842</v>
      </c>
      <c r="B28" s="15" t="s">
        <v>843</v>
      </c>
      <c r="C28" s="15" t="s">
        <v>134</v>
      </c>
      <c r="D28" s="15" t="s">
        <v>791</v>
      </c>
      <c r="E28" s="15" t="s">
        <v>844</v>
      </c>
      <c r="F28" s="15" t="s">
        <v>845</v>
      </c>
      <c r="G28" s="15" t="s">
        <v>846</v>
      </c>
      <c r="H28" s="15" t="s">
        <v>26</v>
      </c>
      <c r="I28" s="15" t="s">
        <v>847</v>
      </c>
      <c r="J28" s="15"/>
      <c r="K28" s="15" t="s">
        <v>848</v>
      </c>
      <c r="L28" s="15" t="s">
        <v>60</v>
      </c>
    </row>
    <row r="29" customFormat="false" ht="15" hidden="false" customHeight="true" outlineLevel="0" collapsed="false">
      <c r="A29" s="14" t="s">
        <v>849</v>
      </c>
      <c r="B29" s="15" t="s">
        <v>850</v>
      </c>
      <c r="C29" s="15" t="s">
        <v>285</v>
      </c>
      <c r="D29" s="15" t="s">
        <v>13</v>
      </c>
      <c r="E29" s="15" t="s">
        <v>851</v>
      </c>
      <c r="F29" s="15" t="s">
        <v>852</v>
      </c>
      <c r="G29" s="15" t="s">
        <v>853</v>
      </c>
      <c r="H29" s="15" t="s">
        <v>26</v>
      </c>
      <c r="I29" s="15" t="s">
        <v>847</v>
      </c>
      <c r="J29" s="15"/>
      <c r="K29" s="15" t="s">
        <v>848</v>
      </c>
      <c r="L29" s="15" t="s">
        <v>60</v>
      </c>
    </row>
    <row r="30" customFormat="false" ht="15" hidden="false" customHeight="true" outlineLevel="0" collapsed="false">
      <c r="A30" s="14" t="s">
        <v>854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customFormat="false" ht="15" hidden="false" customHeight="true" outlineLevel="0" collapsed="false">
      <c r="A31" s="14" t="s">
        <v>855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customFormat="false" ht="15" hidden="false" customHeight="true" outlineLevel="0" collapsed="false">
      <c r="A32" s="14" t="s">
        <v>856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customFormat="false" ht="15" hidden="false" customHeight="true" outlineLevel="0" collapsed="false">
      <c r="A33" s="14" t="s">
        <v>857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customFormat="false" ht="15" hidden="false" customHeight="true" outlineLevel="0" collapsed="false">
      <c r="A34" s="14" t="s">
        <v>858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customFormat="false" ht="15" hidden="false" customHeight="true" outlineLevel="0" collapsed="false">
      <c r="A35" s="14" t="s">
        <v>859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customFormat="false" ht="15" hidden="false" customHeight="true" outlineLevel="0" collapsed="false">
      <c r="A36" s="14" t="s">
        <v>860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customFormat="false" ht="15" hidden="false" customHeight="true" outlineLevel="0" collapsed="false">
      <c r="A37" s="14" t="s">
        <v>861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customFormat="false" ht="15" hidden="false" customHeight="true" outlineLevel="0" collapsed="false">
      <c r="A38" s="14" t="s">
        <v>862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customFormat="false" ht="15" hidden="false" customHeight="true" outlineLevel="0" collapsed="false">
      <c r="A39" s="14" t="s">
        <v>863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customFormat="false" ht="15" hidden="false" customHeight="true" outlineLevel="0" collapsed="false">
      <c r="A40" s="14" t="s">
        <v>864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customFormat="false" ht="15" hidden="false" customHeight="true" outlineLevel="0" collapsed="false">
      <c r="A41" s="14" t="s">
        <v>865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customFormat="false" ht="15" hidden="false" customHeight="true" outlineLevel="0" collapsed="false">
      <c r="A42" s="14" t="s">
        <v>866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customFormat="false" ht="15" hidden="false" customHeight="true" outlineLevel="0" collapsed="false">
      <c r="A43" s="14" t="s">
        <v>867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customFormat="false" ht="15" hidden="false" customHeight="true" outlineLevel="0" collapsed="false">
      <c r="A44" s="14" t="s">
        <v>868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customFormat="false" ht="15" hidden="false" customHeight="true" outlineLevel="0" collapsed="false">
      <c r="A45" s="14" t="s">
        <v>869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</row>
    <row r="46" customFormat="false" ht="15" hidden="false" customHeight="true" outlineLevel="0" collapsed="false">
      <c r="A46" s="14" t="s">
        <v>870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 customFormat="false" ht="15" hidden="false" customHeight="true" outlineLevel="0" collapsed="false">
      <c r="A47" s="14" t="s">
        <v>871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customFormat="false" ht="15" hidden="false" customHeight="true" outlineLevel="0" collapsed="false">
      <c r="A48" s="14" t="s">
        <v>872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</row>
    <row r="49" customFormat="false" ht="15" hidden="false" customHeight="true" outlineLevel="0" collapsed="false">
      <c r="A49" s="14" t="s">
        <v>873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customFormat="false" ht="15" hidden="false" customHeight="true" outlineLevel="0" collapsed="false">
      <c r="A50" s="14" t="s">
        <v>874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 customFormat="false" ht="15" hidden="false" customHeight="true" outlineLevel="0" collapsed="false">
      <c r="A51" s="14" t="s">
        <v>875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customFormat="false" ht="15" hidden="false" customHeight="true" outlineLevel="0" collapsed="false">
      <c r="A52" s="14" t="s">
        <v>876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</row>
  </sheetData>
  <conditionalFormatting sqref="H3:H52">
    <cfRule type="cellIs" priority="2" operator="equal" aboveAverage="0" equalAverage="0" bottom="0" percent="0" rank="0" text="" dxfId="15">
      <formula>"Critical"</formula>
    </cfRule>
    <cfRule type="cellIs" priority="3" operator="equal" aboveAverage="0" equalAverage="0" bottom="0" percent="0" rank="0" text="" dxfId="16">
      <formula>"High"</formula>
    </cfRule>
    <cfRule type="cellIs" priority="4" operator="equal" aboveAverage="0" equalAverage="0" bottom="0" percent="0" rank="0" text="" dxfId="11">
      <formula>"Medium"</formula>
    </cfRule>
    <cfRule type="cellIs" priority="5" operator="equal" aboveAverage="0" equalAverage="0" bottom="0" percent="0" rank="0" text="" dxfId="17">
      <formula>"Low"</formula>
    </cfRule>
  </conditionalFormatting>
  <conditionalFormatting sqref="A3:L52">
    <cfRule type="expression" priority="6" aboveAverage="0" equalAverage="0" bottom="0" percent="0" rank="0" text="" dxfId="15">
      <formula>$H3="Critical"</formula>
    </cfRule>
    <cfRule type="expression" priority="7" aboveAverage="0" equalAverage="0" bottom="0" percent="0" rank="0" text="" dxfId="16">
      <formula>$H3="High"</formula>
    </cfRule>
    <cfRule type="expression" priority="8" aboveAverage="0" equalAverage="0" bottom="0" percent="0" rank="0" text="" dxfId="11">
      <formula>$H3="Medium"</formula>
    </cfRule>
    <cfRule type="expression" priority="9" aboveAverage="0" equalAverage="0" bottom="0" percent="0" rank="0" text="" dxfId="13">
      <formula>$H3="Low"</formula>
    </cfRule>
  </conditionalFormatting>
  <dataValidations count="2">
    <dataValidation allowBlank="true" errorStyle="stop" operator="between" showDropDown="false" showErrorMessage="false" showInputMessage="false" sqref="H3:H52" type="list">
      <formula1>"Critical,High,Medium,Low"</formula1>
      <formula2>0</formula2>
    </dataValidation>
    <dataValidation allowBlank="true" errorStyle="stop" operator="between" showDropDown="false" showErrorMessage="false" showInputMessage="false" sqref="K3:K52" type="list">
      <formula1>"Open,In progress,Fixed - retest,Closed,Won't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18" t="s">
        <v>877</v>
      </c>
    </row>
    <row r="3" customFormat="false" ht="15" hidden="false" customHeight="true" outlineLevel="0" collapsed="false">
      <c r="A3" s="8" t="s">
        <v>878</v>
      </c>
    </row>
    <row r="36" customFormat="false" ht="15" hidden="false" customHeight="true" outlineLevel="0" collapsed="false">
      <c r="A36" s="8" t="s">
        <v>879</v>
      </c>
    </row>
    <row r="70" customFormat="false" ht="15" hidden="false" customHeight="true" outlineLevel="0" collapsed="false">
      <c r="A70" s="8" t="s">
        <v>880</v>
      </c>
    </row>
    <row r="105" customFormat="false" ht="15" hidden="false" customHeight="true" outlineLevel="0" collapsed="false">
      <c r="A105" s="8" t="s">
        <v>881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2026-10-17T06:17:26Z</dcterms:created>
  <dc:creator>openpyxl</dc:creator>
  <dc:description/>
  <dc:language>en-US</dc:language>
  <cp:lastModifiedBy/>
  <dcterms:modified xsi:type="dcterms:W3CDTF">2026-10-18T09:27:02Z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