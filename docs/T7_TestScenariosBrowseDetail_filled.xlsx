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matthewkwong/Downloads/"/>
    </mc:Choice>
  </mc:AlternateContent>
  <xr:revisionPtr revIDLastSave="0" documentId="13_ncr:1_{6BCB33C8-2DE4-C346-A37B-0F9DAD591B02}" xr6:coauthVersionLast="47" xr6:coauthVersionMax="47" xr10:uidLastSave="{00000000-0000-0000-0000-000000000000}"/>
  <bookViews>
    <workbookView xWindow="0" yWindow="760" windowWidth="29400" windowHeight="18360" activeTab="1" xr2:uid="{00000000-000D-0000-FFFF-FFFF00000000}"/>
  </bookViews>
  <sheets>
    <sheet name="Summary" sheetId="1" r:id="rId1"/>
    <sheet name="Test Scenarios" sheetId="2" r:id="rId2"/>
    <sheet name="Gap Log" sheetId="3" r:id="rId3"/>
    <sheet name="AC Questions" sheetId="4" r:id="rId4"/>
  </sheets>
  <definedNames>
    <definedName name="_xlnm._FilterDatabase" localSheetId="1" hidden="1">'Test Scenarios'!$A$1:$N$56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 i="1" l="1"/>
  <c r="C9" i="1"/>
  <c r="B9" i="1"/>
  <c r="D9" i="1" s="1"/>
  <c r="C8" i="1"/>
  <c r="B8" i="1"/>
  <c r="D8" i="1" s="1"/>
  <c r="C7" i="1"/>
  <c r="B7" i="1"/>
  <c r="D7" i="1" s="1"/>
  <c r="C6" i="1"/>
  <c r="B6" i="1"/>
  <c r="D6" i="1" s="1"/>
  <c r="C5" i="1"/>
  <c r="C10" i="1" s="1"/>
  <c r="B5" i="1"/>
  <c r="D5" i="1" l="1"/>
  <c r="D10" i="1" s="1"/>
  <c r="D11" i="1" s="1"/>
  <c r="B10" i="1"/>
</calcChain>
</file>

<file path=xl/sharedStrings.xml><?xml version="1.0" encoding="utf-8"?>
<sst xmlns="http://schemas.openxmlformats.org/spreadsheetml/2006/main" count="895" uniqueCount="531">
  <si>
    <t>T7 - Test scenarios: Browse &amp; Detail</t>
  </si>
  <si>
    <t>Grand Prix ticketing - Team 27, Capstone 2026. Source: Stories 1 &amp; 2 user stories and acceptance criteria (team document).</t>
  </si>
  <si>
    <t>Result</t>
  </si>
  <si>
    <t>Browse</t>
  </si>
  <si>
    <t>Detail</t>
  </si>
  <si>
    <t>Total</t>
  </si>
  <si>
    <t>Pass</t>
  </si>
  <si>
    <t>Fail</t>
  </si>
  <si>
    <t>Blocked</t>
  </si>
  <si>
    <t>Not built</t>
  </si>
  <si>
    <t>Not tested</t>
  </si>
  <si>
    <t>Pass rate</t>
  </si>
  <si>
    <t>Open gaps</t>
  </si>
  <si>
    <t>ID</t>
  </si>
  <si>
    <t>Screen</t>
  </si>
  <si>
    <t>AC reference</t>
  </si>
  <si>
    <t>Type</t>
  </si>
  <si>
    <t>Scenario</t>
  </si>
  <si>
    <t>Given</t>
  </si>
  <si>
    <t>When</t>
  </si>
  <si>
    <t>Then (expected result)</t>
  </si>
  <si>
    <t>Actual result</t>
  </si>
  <si>
    <t>Gap ID</t>
  </si>
  <si>
    <t>Tester</t>
  </si>
  <si>
    <t>Date tested</t>
  </si>
  <si>
    <t>Notes</t>
  </si>
  <si>
    <t>STORY 1 - BROWSE TICKET LIST</t>
  </si>
  <si>
    <t>B-01</t>
  </si>
  <si>
    <t>S1 AC: All ticket types on one screen</t>
  </si>
  <si>
    <t>Happy path</t>
  </si>
  <si>
    <t>All ticket tiers shown together</t>
  </si>
  <si>
    <t>Several ticket tiers are available</t>
  </si>
  <si>
    <t>User opens the Browse screen</t>
  </si>
  <si>
    <t>Every ticket tier is shown on one screen with no need to click into each</t>
  </si>
  <si>
    <t>It showed without any problem</t>
  </si>
  <si>
    <t>27/09/2026</t>
  </si>
  <si>
    <t>All 6 seeded ticket types render as cards on one screen</t>
  </si>
  <si>
    <t>B-02</t>
  </si>
  <si>
    <t>S1 AC: Card details</t>
  </si>
  <si>
    <t>Each card shows the required fields</t>
  </si>
  <si>
    <t>Tickets have full data</t>
  </si>
  <si>
    <t>User views any ticket card</t>
  </si>
  <si>
    <t>Card shows tier badge/label, price, zone name, view quality indicator and days covered</t>
  </si>
  <si>
    <t>Card shows name, price, zone, days covered and view description. No tier badge/label and no view quality indicator.</t>
  </si>
  <si>
    <t>G-01</t>
  </si>
  <si>
    <t>Fields do not exist in the TicketType data model</t>
  </si>
  <si>
    <t>B-03</t>
  </si>
  <si>
    <t>S1 AC: Card details (button)</t>
  </si>
  <si>
    <t>Card button opens more information</t>
  </si>
  <si>
    <t>Browse screen is loaded</t>
  </si>
  <si>
    <t>User clicks the card's button</t>
  </si>
  <si>
    <t>Enlarged ticket info opens, adding extra detail such as seat location relative to other zones</t>
  </si>
  <si>
    <t>Built: "View details" opens a modal (Q-05). Seat location relative to other zones is not shown (see G-10)</t>
  </si>
  <si>
    <t>B-04</t>
  </si>
  <si>
    <t>S1 AC: Ordering</t>
  </si>
  <si>
    <t>Tickets are in a sensible order</t>
  </si>
  <si>
    <t>Several tiers with different prices</t>
  </si>
  <si>
    <t>User opens Browse</t>
  </si>
  <si>
    <t>Tickets are ordered by price (or the agreed recommended order) consistently every load</t>
  </si>
  <si>
    <t>Tickets are sorted alphabetically by name, not by price (useTicketTypes.ts:36)</t>
  </si>
  <si>
    <t>G-02</t>
  </si>
  <si>
    <t>Needs Q-08 answered, but alphabetical is neither price nor a recommended order</t>
  </si>
  <si>
    <t>B-05</t>
  </si>
  <si>
    <t>S1 AC: Visual hierarchy</t>
  </si>
  <si>
    <t>Visual</t>
  </si>
  <si>
    <t>Price and tier stand out</t>
  </si>
  <si>
    <t>User scans the cards</t>
  </si>
  <si>
    <t>Price and tier are the most prominent elements; the service provided is also visible</t>
  </si>
  <si>
    <t>Price is green and larger than body text; no tier badge exists (G-01)</t>
  </si>
  <si>
    <t>B-06</t>
  </si>
  <si>
    <t>S1 AC: Palette &amp; typography</t>
  </si>
  <si>
    <t>Grand Prix brand is applied</t>
  </si>
  <si>
    <t>Compare against the Grand Prix style guide</t>
  </si>
  <si>
    <t>Colours and fonts match the existing Grand Prix palette and typography</t>
  </si>
  <si>
    <t>Needs comparison against the Grand Prix style guide in a browser</t>
  </si>
  <si>
    <t>B-07</t>
  </si>
  <si>
    <t>S1 AC: Component patterns</t>
  </si>
  <si>
    <t>Components match current design</t>
  </si>
  <si>
    <t>Compare cards, buttons and labels with the existing site</t>
  </si>
  <si>
    <t>Component patterns are consistent with the current design</t>
  </si>
  <si>
    <t>Needs comparison against the existing site in a browser</t>
  </si>
  <si>
    <t>B-08</t>
  </si>
  <si>
    <t>S1 Responsive: Desktop</t>
  </si>
  <si>
    <t>Responsive</t>
  </si>
  <si>
    <t>Desktop shows every field</t>
  </si>
  <si>
    <t>Desktop browser (1280px+)</t>
  </si>
  <si>
    <t>All data fields on every card are visible, nothing cut off</t>
  </si>
  <si>
    <t>B-09</t>
  </si>
  <si>
    <t>S1 Responsive: Mobile &lt;768px</t>
  </si>
  <si>
    <t>Mobile stacks into one column</t>
  </si>
  <si>
    <t>Screen width under 768px (e.g. 375px)</t>
  </si>
  <si>
    <t>Cards stack in a single column, no text truncation, no horizontal scroll, still easy to scan</t>
  </si>
  <si>
    <t>Code uses 1 column below 768px (md:grid-cols-2) - check at 375px</t>
  </si>
  <si>
    <t>B-10</t>
  </si>
  <si>
    <t>Testing checklist: Tablet</t>
  </si>
  <si>
    <t>Tablet reflows correctly</t>
  </si>
  <si>
    <t>Tablet width (~768-1024px)</t>
  </si>
  <si>
    <t>Layout reflows cleanly (e.g. 2 columns to 1) with no overlap</t>
  </si>
  <si>
    <t>B-11</t>
  </si>
  <si>
    <t>S1 Interactions: Hover</t>
  </si>
  <si>
    <t>Interaction</t>
  </si>
  <si>
    <t>Hover state on desktop only</t>
  </si>
  <si>
    <t>Desktop browser</t>
  </si>
  <si>
    <t>User hovers over a ticket card</t>
  </si>
  <si>
    <t>Card shows a hover state; the same effect does not stick on mobile after tapping</t>
  </si>
  <si>
    <t>No hover state on the card itself; only the buttons change on hover</t>
  </si>
  <si>
    <t>G-03</t>
  </si>
  <si>
    <t>B-12</t>
  </si>
  <si>
    <t>S1 Interactions: Focus/active</t>
  </si>
  <si>
    <t>CTA focus and active states</t>
  </si>
  <si>
    <t>User tabs to a CTA with the keyboard, then clicks it</t>
  </si>
  <si>
    <t>A visible focus state appears on tab, and an active state appears on click</t>
  </si>
  <si>
    <t>Buttons have a visible focus outline (focus-visible) but no active/pressed style</t>
  </si>
  <si>
    <t>Focus part looks built - confirm by tabbing in a browser</t>
  </si>
  <si>
    <t>B-13</t>
  </si>
  <si>
    <t>S1 Interactions: No unintended navigation</t>
  </si>
  <si>
    <t>Clicking non-CTA areas does nothing unexpected</t>
  </si>
  <si>
    <t>User clicks badges, labels, prices and empty card space</t>
  </si>
  <si>
    <t>No unexpected page change; only the intended CTA navigates</t>
  </si>
  <si>
    <t>Cards have no click handler, so only buttons should react - confirm in browser</t>
  </si>
  <si>
    <t>B-14</t>
  </si>
  <si>
    <t>S1 Edge: Out of stock</t>
  </si>
  <si>
    <t>Edge case</t>
  </si>
  <si>
    <t>Sold-out tier is labelled and disabled</t>
  </si>
  <si>
    <t>One tier has 0 tickets left</t>
  </si>
  <si>
    <t>User views that card</t>
  </si>
  <si>
    <t>Card shows "Sold out", button is disabled, card is muted/greyed but still readable</t>
  </si>
  <si>
    <t>No stock/availability field in the data model; sold-out state not built</t>
  </si>
  <si>
    <t>G-04</t>
  </si>
  <si>
    <t>B-15</t>
  </si>
  <si>
    <t>Disabled button cannot be used</t>
  </si>
  <si>
    <t>One tier is sold out</t>
  </si>
  <si>
    <t>User clicks or taps the disabled button (and tries keyboard Enter)</t>
  </si>
  <si>
    <t>Nothing happens; no navigation, no error</t>
  </si>
  <si>
    <t>B-16</t>
  </si>
  <si>
    <t>S1 Edge: Limited availability</t>
  </si>
  <si>
    <t>Low stock shows urgency label</t>
  </si>
  <si>
    <t>A tier has 5 tickets left</t>
  </si>
  <si>
    <t>Card shows "Only 5 left"; button stays enabled</t>
  </si>
  <si>
    <t>No stock/availability field in the data model; low-stock label not built</t>
  </si>
  <si>
    <t>B-17</t>
  </si>
  <si>
    <t>Low-stock boundary values</t>
  </si>
  <si>
    <t>Test with 20, 19 and 1 tickets left</t>
  </si>
  <si>
    <t>User views the card each time</t>
  </si>
  <si>
    <t>20 shows no label; 19 shows "Only 19 left"; 1 shows "Only 1 left" (confirm wording, see Q-02)</t>
  </si>
  <si>
    <t>Also blocked by Q-02</t>
  </si>
  <si>
    <t>B-18</t>
  </si>
  <si>
    <t>S1 Edge: Price range</t>
  </si>
  <si>
    <t>Price range for varied pricing</t>
  </si>
  <si>
    <t>One ticket type has prices $450 and $550</t>
  </si>
  <si>
    <t>Card shows the range, e.g. "Grandstand $450-$550"</t>
  </si>
  <si>
    <t>Each ticket has a single price (priceAud); price ranges are not supported</t>
  </si>
  <si>
    <t>G-05</t>
  </si>
  <si>
    <t>B-19</t>
  </si>
  <si>
    <t>S1 Empty: No tickets</t>
  </si>
  <si>
    <t>Empty state</t>
  </si>
  <si>
    <t>All tickets sold out message</t>
  </si>
  <si>
    <t>No tickets are available at all</t>
  </si>
  <si>
    <t>Centred message "All tickets are currently sold out. Check back later"; no ticket cards shown</t>
  </si>
  <si>
    <t>Empty state exists but reads "No tickets available / Please check back soon for available ticket types."</t>
  </si>
  <si>
    <t>G-06</t>
  </si>
  <si>
    <t>Wording differs from AC; shows when zero ticket types exist (no sold-out concept yet)</t>
  </si>
  <si>
    <t>B-20</t>
  </si>
  <si>
    <t>FAQ / waitlist link works</t>
  </si>
  <si>
    <t>Empty state is showing</t>
  </si>
  <si>
    <t>User clicks the FAQ or waitlist link</t>
  </si>
  <si>
    <t>Link opens the correct FAQ or waitlist page</t>
  </si>
  <si>
    <t>Empty state has no FAQ or waitlist link</t>
  </si>
  <si>
    <t>Also needs Q-09 answered</t>
  </si>
  <si>
    <t>B-21</t>
  </si>
  <si>
    <t>S1 Empty: Loading</t>
  </si>
  <si>
    <t>Skeleton loaders while loading</t>
  </si>
  <si>
    <t>Slow network (throttle in dev tools)</t>
  </si>
  <si>
    <t>Skeleton placeholder shown for each card; animation is subtle and loops smoothly; replaced by real cards when loaded</t>
  </si>
  <si>
    <t>A spinner with "Loading tickets..." is shown instead of skeleton cards</t>
  </si>
  <si>
    <t>G-07</t>
  </si>
  <si>
    <t>B-22</t>
  </si>
  <si>
    <t>S1 Empty: Fetch error</t>
  </si>
  <si>
    <t>Error message with retry</t>
  </si>
  <si>
    <t>Ticket data fails to load (offline or API error)</t>
  </si>
  <si>
    <t>Friendly error message with a Retry button is shown; no broken cards</t>
  </si>
  <si>
    <t>Built: error message + Retry button. Test by going offline in dev tools</t>
  </si>
  <si>
    <t>B-23</t>
  </si>
  <si>
    <t>Retry recovers</t>
  </si>
  <si>
    <t>Error state is showing and connection is restored</t>
  </si>
  <si>
    <t>User clicks Retry</t>
  </si>
  <si>
    <t>Tickets load normally</t>
  </si>
  <si>
    <t>Built: Retry re-fetches the catalogue</t>
  </si>
  <si>
    <t>B-24</t>
  </si>
  <si>
    <t>Testing checklist: Accessibility</t>
  </si>
  <si>
    <t>Accessibility</t>
  </si>
  <si>
    <t>Contrast and screen reader</t>
  </si>
  <si>
    <t>Browse screen with a sold-out and a low-stock card</t>
  </si>
  <si>
    <t>Check contrast (WCAG AA) and use a screen reader</t>
  </si>
  <si>
    <t>Text meets AA contrast (including muted cards); "Sold out"/"Only X left" and CTA states are announced</t>
  </si>
  <si>
    <t>Sold-out/low-stock parts cannot be tested until G-04 is built</t>
  </si>
  <si>
    <t>B-25</t>
  </si>
  <si>
    <t>Testing checklist: Visual</t>
  </si>
  <si>
    <t>Minimum sizes on mobile</t>
  </si>
  <si>
    <t>Mobile width</t>
  </si>
  <si>
    <t>Inspect text and buttons</t>
  </si>
  <si>
    <t>No text below 12px; buttons at least 44px tall/wide</t>
  </si>
  <si>
    <t>Buttons are about 38px tall (text-sm + py-2), below the 44px minimum. Smallest text is 12px (AUD label).</t>
  </si>
  <si>
    <t>G-08</t>
  </si>
  <si>
    <t>Measure in dev tools to confirm</t>
  </si>
  <si>
    <t>STORY 2 - TICKET DETAIL VIEW</t>
  </si>
  <si>
    <t>D-01</t>
  </si>
  <si>
    <t>S2 (entry from Browse)</t>
  </si>
  <si>
    <t>Correct ticket opens</t>
  </si>
  <si>
    <t>User opens detail for the Grandstand ticket</t>
  </si>
  <si>
    <t>Detail page shows Grandstand data, matching the card that was clicked</t>
  </si>
  <si>
    <t>Detail opens as a modal over Browse, not a separate screen (Q-05)</t>
  </si>
  <si>
    <t>D-02</t>
  </si>
  <si>
    <t>S2 AC: Type &amp; price at top</t>
  </si>
  <si>
    <t>Type and price are prominent at the top</t>
  </si>
  <si>
    <t>Detail page is open</t>
  </si>
  <si>
    <t>User views and scrolls the page</t>
  </si>
  <si>
    <t>Ticket type and price sit at the top, are prominent and don't change (see Q-03)</t>
  </si>
  <si>
    <t>Name and price are in the modal header; see Q-03 for sticky behaviour</t>
  </si>
  <si>
    <t>D-03</t>
  </si>
  <si>
    <t>S2 AC: Dates</t>
  </si>
  <si>
    <t>Dates are explicit</t>
  </si>
  <si>
    <t>Detail page for a multi-day ticket</t>
  </si>
  <si>
    <t>User reads the date section</t>
  </si>
  <si>
    <t>Actual dates are listed (e.g. Fri 13 - Sun 15 March), not just "3-day pass"</t>
  </si>
  <si>
    <t>Only day abbreviations are shown (e.g. "Thu, Fri, Sat, Sun"), not actual dates</t>
  </si>
  <si>
    <t>G-09</t>
  </si>
  <si>
    <t>D-04</t>
  </si>
  <si>
    <t>S2 AC: Zone/Location</t>
  </si>
  <si>
    <t>Zone name and seat description</t>
  </si>
  <si>
    <t>User reads the zone section</t>
  </si>
  <si>
    <t>Zone name and a description of the seat are shown</t>
  </si>
  <si>
    <t>Zone name is shown; there is no seat description</t>
  </si>
  <si>
    <t>G-10</t>
  </si>
  <si>
    <t>D-05</t>
  </si>
  <si>
    <t>S2 AC: Zone map</t>
  </si>
  <si>
    <t>Zone map shows position</t>
  </si>
  <si>
    <t>Ticket has a zone map</t>
  </si>
  <si>
    <t>User views the map</t>
  </si>
  <si>
    <t>Map/diagram highlights where the zone sits in the venue; scales properly and has alt text</t>
  </si>
  <si>
    <t>No zone map</t>
  </si>
  <si>
    <t>D-06</t>
  </si>
  <si>
    <t>S2 AC: View description</t>
  </si>
  <si>
    <t>Content</t>
  </si>
  <si>
    <t>View description is clear</t>
  </si>
  <si>
    <t>User reads the view description</t>
  </si>
  <si>
    <t>Description explains the view in plain, jargon-free language</t>
  </si>
  <si>
    <t>Seed data descriptions are placeholders pending real client data</t>
  </si>
  <si>
    <t>D-07</t>
  </si>
  <si>
    <t>S2 AC: Includes</t>
  </si>
  <si>
    <t>Includes section complete</t>
  </si>
  <si>
    <t>Ticket has inclusions</t>
  </si>
  <si>
    <t>User reads Includes</t>
  </si>
  <si>
    <t>Shows seating type, facility access and any perks/complimentary items</t>
  </si>
  <si>
    <t>Built as "What's included" list</t>
  </si>
  <si>
    <t>D-08</t>
  </si>
  <si>
    <t>S2 AC: Excludes</t>
  </si>
  <si>
    <t>Excludes section clear</t>
  </si>
  <si>
    <t>Ticket has exclusions</t>
  </si>
  <si>
    <t>User reads Excludes</t>
  </si>
  <si>
    <t>Clearly states what is NOT provided, e.g. "Food/beverage sold separately"</t>
  </si>
  <si>
    <t>Built as "What's not included" list</t>
  </si>
  <si>
    <t>D-09</t>
  </si>
  <si>
    <t>S2 AC: Primary CTA</t>
  </si>
  <si>
    <t>Add to cart button stands out</t>
  </si>
  <si>
    <t>User views the CTA</t>
  </si>
  <si>
    <t>"Add to cart"/"Purchase" button is large and high contrast</t>
  </si>
  <si>
    <t>Button is labelled "Add to selection", same size as other buttons</t>
  </si>
  <si>
    <t>D-10</t>
  </si>
  <si>
    <t>S2 Interactions: Add to cart</t>
  </si>
  <si>
    <t>Add to cart updates cart</t>
  </si>
  <si>
    <t>Cart is empty</t>
  </si>
  <si>
    <t>User clicks "Add to cart"</t>
  </si>
  <si>
    <t>Cart count goes from 0 to 1; confirmation toast or modal appears</t>
  </si>
  <si>
    <t>No cart. The button adds the ticket to an on-page "Your selection" panel; no cart count or toast</t>
  </si>
  <si>
    <t>G-11</t>
  </si>
  <si>
    <t>D-11</t>
  </si>
  <si>
    <t>Adding the same ticket twice</t>
  </si>
  <si>
    <t>Ticket already in cart</t>
  </si>
  <si>
    <t>User clicks "Add to cart" again</t>
  </si>
  <si>
    <t>Behaviour matches the agreed rule (count goes to 2, or a message shows) - see Q-07</t>
  </si>
  <si>
    <t>No cart. Clicking again toggles the ticket back out of the selection</t>
  </si>
  <si>
    <t>Also needs Q-07 answered</t>
  </si>
  <si>
    <t>D-12</t>
  </si>
  <si>
    <t>S2 Interactions: Back to Browse</t>
  </si>
  <si>
    <t>Back keeps scroll position</t>
  </si>
  <si>
    <t>User scrolled halfway down Browse, then opened a detail page</t>
  </si>
  <si>
    <t>User clicks "Back to Browse"</t>
  </si>
  <si>
    <t>Browse shows again at the same scroll position</t>
  </si>
  <si>
    <t>Detail is a modal, so closing it should leave Browse at the same scroll position. There is no "Back to Browse" button, only a close (X) button</t>
  </si>
  <si>
    <t>D-13</t>
  </si>
  <si>
    <t>S2 Interactions: Back (browser)</t>
  </si>
  <si>
    <t>Browser/device back button</t>
  </si>
  <si>
    <t>Same as D-12</t>
  </si>
  <si>
    <t>User uses the browser or phone back button instead</t>
  </si>
  <si>
    <t>Returns to Browse at the same position (not in AC - see Q-10)</t>
  </si>
  <si>
    <t>Modal is not in browser history, so browser back leaves the tickets page entirely</t>
  </si>
  <si>
    <t>G-12</t>
  </si>
  <si>
    <t>Not in AC - see Q-10</t>
  </si>
  <si>
    <t>D-14</t>
  </si>
  <si>
    <t>S2 Interactions: Links</t>
  </si>
  <si>
    <t>All links work</t>
  </si>
  <si>
    <t>User clicks every link on the page</t>
  </si>
  <si>
    <t>Each link goes to the correct place; none are broken</t>
  </si>
  <si>
    <t>The modal currently contains no links, only buttons</t>
  </si>
  <si>
    <t>D-15</t>
  </si>
  <si>
    <t>S2 AC: Design system</t>
  </si>
  <si>
    <t>Grand Prix design applied</t>
  </si>
  <si>
    <t>Compare against the style guide</t>
  </si>
  <si>
    <t>Colours, typography and components match the Grand Prix system</t>
  </si>
  <si>
    <t>D-16</t>
  </si>
  <si>
    <t>S2 Responsive: Desktop</t>
  </si>
  <si>
    <t>Desktop layout without scrolling</t>
  </si>
  <si>
    <t>User opens a detail page</t>
  </si>
  <si>
    <t>2-column or full-width layout; all sections visible without scrolling (see Q-04)</t>
  </si>
  <si>
    <t>Modal is capped at 90% of screen height and scrolls inside</t>
  </si>
  <si>
    <t>D-17</t>
  </si>
  <si>
    <t>S2 Responsive: Mobile</t>
  </si>
  <si>
    <t>Mobile single column</t>
  </si>
  <si>
    <t>Screen width under the mobile breakpoint (see Q-01)</t>
  </si>
  <si>
    <t>Single column; sections stack vertically; all content reachable; no horizontal scroll</t>
  </si>
  <si>
    <t>Includes/Excludes stack below 640px, not 768px (see Q-01)</t>
  </si>
  <si>
    <t>D-18</t>
  </si>
  <si>
    <t>S2 Responsive: Readable text</t>
  </si>
  <si>
    <t>Text readable at all sizes</t>
  </si>
  <si>
    <t>Test at mobile, tablet and desktop widths</t>
  </si>
  <si>
    <t>Read every section</t>
  </si>
  <si>
    <t>Text is readable at every size; nothing below 12px</t>
  </si>
  <si>
    <t>D-19</t>
  </si>
  <si>
    <t>S2 Edge: Missing data</t>
  </si>
  <si>
    <t>Placeholder for missing view description</t>
  </si>
  <si>
    <t>Ticket has no view description</t>
  </si>
  <si>
    <t>User opens detail</t>
  </si>
  <si>
    <t>Shows "View description coming soon" instead of a blank or error</t>
  </si>
  <si>
    <t>Built: shows "View description not provided." Needs a ticket without a description to test</t>
  </si>
  <si>
    <t>D-20</t>
  </si>
  <si>
    <t>S2 Edge/Empty: No zone map</t>
  </si>
  <si>
    <t>Missing zone map handled</t>
  </si>
  <si>
    <t>Ticket has no zone map</t>
  </si>
  <si>
    <t>Shows "Zone map not available"; view description is detailed enough on its own</t>
  </si>
  <si>
    <t>No zone map, so no "Zone map not available" message either</t>
  </si>
  <si>
    <t>D-21</t>
  </si>
  <si>
    <t>S2 Edge: Long descriptions</t>
  </si>
  <si>
    <t>10+ includes/excludes</t>
  </si>
  <si>
    <t>Ticket has 12 Includes items</t>
  </si>
  <si>
    <t>User views the list on mobile and desktop</t>
  </si>
  <si>
    <t>All items remain accessible (smaller text or secondary section); no horizontal overflow on mobile</t>
  </si>
  <si>
    <t>Needs a ticket with 12 includes; seed data has at most 3-4</t>
  </si>
  <si>
    <t>D-22</t>
  </si>
  <si>
    <t>S2 Edge: Restrictions</t>
  </si>
  <si>
    <t>Restriction warning is prominent</t>
  </si>
  <si>
    <t>Ticket has a restriction (e.g. 18+ only)</t>
  </si>
  <si>
    <t>Warning shown in an alert/callout box, clearly visible without hunting for it</t>
  </si>
  <si>
    <t>No restrictions field in the data model; no warning callout</t>
  </si>
  <si>
    <t>G-13</t>
  </si>
  <si>
    <t>D-23</t>
  </si>
  <si>
    <t>S2 Edge: Sold out on detail</t>
  </si>
  <si>
    <t>Ticket sells out while viewing</t>
  </si>
  <si>
    <t>User is on a detail page and stock drops to 0</t>
  </si>
  <si>
    <t>Page updates / user tries to add to cart</t>
  </si>
  <si>
    <t>Top banner: "The ticket is no longer available. View other options"; CTA disabled and relabelled "Sold out" (see Q-06)</t>
  </si>
  <si>
    <t>No stock/availability field in the data model</t>
  </si>
  <si>
    <t>Also needs Q-06 answered</t>
  </si>
  <si>
    <t>D-24</t>
  </si>
  <si>
    <t>Sold-out banner link</t>
  </si>
  <si>
    <t>Sold-out banner is showing</t>
  </si>
  <si>
    <t>User clicks the link in the banner</t>
  </si>
  <si>
    <t>Returns to the Browse screen</t>
  </si>
  <si>
    <t>No sold-out banner</t>
  </si>
  <si>
    <t>D-25</t>
  </si>
  <si>
    <t>S2 Empty: Bare minimum ticket</t>
  </si>
  <si>
    <t>Minimal ticket shown honestly</t>
  </si>
  <si>
    <t>Ticket includes only seating type and has no exclusions</t>
  </si>
  <si>
    <t>Includes lists only the seating type with no filler; Excludes section is still shown (empty), not hidden</t>
  </si>
  <si>
    <t>Built: empty Excludes shows "Not specified for this ticket." (section kept, not hidden)</t>
  </si>
  <si>
    <t>D-26</t>
  </si>
  <si>
    <t>Both</t>
  </si>
  <si>
    <t>Testing checklist: Content</t>
  </si>
  <si>
    <t>Data consistent across screens</t>
  </si>
  <si>
    <t>Pick 3 tickets</t>
  </si>
  <si>
    <t>Compare price, days and zone on Browse vs Detail</t>
  </si>
  <si>
    <t>All values match exactly on both screens</t>
  </si>
  <si>
    <t>Browse and Detail use the same components, so values should match</t>
  </si>
  <si>
    <t>D-27</t>
  </si>
  <si>
    <t>Keyboard and screen reader</t>
  </si>
  <si>
    <t>Detail page with a restriction warning</t>
  </si>
  <si>
    <t>Navigate by keyboard only and with a screen reader</t>
  </si>
  <si>
    <t>Focus is always visible; CTAs, toast, warnings and sold-out banner are announced; map has alt text</t>
  </si>
  <si>
    <t>Modal is a native dialog, moves focus to the close button and has a labelled title. No zone map or warnings exist yet</t>
  </si>
  <si>
    <t>D-28</t>
  </si>
  <si>
    <t>Not in AC</t>
  </si>
  <si>
    <t>Direct link / refresh on detail</t>
  </si>
  <si>
    <t>User has the detail page URL</t>
  </si>
  <si>
    <t>User refreshes the page or opens the link directly</t>
  </si>
  <si>
    <t>Page loads the same ticket (or a sensible fallback) - see Q-10</t>
  </si>
  <si>
    <t>Detail has no URL of its own; refreshing closes the modal and shows Browse, and it cannot be linked to directly</t>
  </si>
  <si>
    <t>Title</t>
  </si>
  <si>
    <t>Scenario ID</t>
  </si>
  <si>
    <t>Steps to reproduce</t>
  </si>
  <si>
    <t>Expected</t>
  </si>
  <si>
    <t>Actual</t>
  </si>
  <si>
    <t>Severity</t>
  </si>
  <si>
    <t>Device / browser</t>
  </si>
  <si>
    <t>Screenshot link</t>
  </si>
  <si>
    <t>Assigned to</t>
  </si>
  <si>
    <t>Status</t>
  </si>
  <si>
    <t>Date logged</t>
  </si>
  <si>
    <t>G-00 (example)</t>
  </si>
  <si>
    <t>Sold-out card button still clickable</t>
  </si>
  <si>
    <t>1. Set VIP tier stock to 0
2. Open Browse
3. Click the VIP card button</t>
  </si>
  <si>
    <t>Button disabled; nothing happens</t>
  </si>
  <si>
    <t>Button navigates to VIP detail page and allows Add to cart</t>
  </si>
  <si>
    <t>High</t>
  </si>
  <si>
    <t>Chrome 128, Windows 11, 1440px</t>
  </si>
  <si>
    <t>(paste link)</t>
  </si>
  <si>
    <t>(developer)</t>
  </si>
  <si>
    <t>Open</t>
  </si>
  <si>
    <t>26/09/2026</t>
  </si>
  <si>
    <t>Card missing tier badge and view quality indicator</t>
  </si>
  <si>
    <t>1. Sign in and open /tickets
2. Look at any ticket card</t>
  </si>
  <si>
    <t>Card shows tier badge/label, price, zone, view quality indicator and days covered</t>
  </si>
  <si>
    <t>No tier badge or view quality indicator. TicketType (types/firestore.ts) has no fields for them</t>
  </si>
  <si>
    <t>Medium</t>
  </si>
  <si>
    <t>Code review, feature/browseTicketListAndDetails @ 393d27e</t>
  </si>
  <si>
    <t>Tickets sorted alphabetically, not by price</t>
  </si>
  <si>
    <t>1. Open /tickets
2. Compare card order with prices</t>
  </si>
  <si>
    <t>Ordered by price (or agreed recommended order)</t>
  </si>
  <si>
    <t>Sorted A-Z by name (useTicketTypes.ts:36)</t>
  </si>
  <si>
    <t>No card hover state and no active state on buttons</t>
  </si>
  <si>
    <t>B-11, B-12</t>
  </si>
  <si>
    <t>S1 Interactions: Hover / Focus/active</t>
  </si>
  <si>
    <t>1. Open /tickets on desktop
2. Hover over a card
3. Click and hold a button</t>
  </si>
  <si>
    <t>Card hover state; visible active state on click</t>
  </si>
  <si>
    <t>Only buttons have hover; no active: styles anywhere (TicketElements.tsx ticketButtonClassName)</t>
  </si>
  <si>
    <t>Low</t>
  </si>
  <si>
    <t>Stock/availability not built (sold out, low stock, sold out while viewing)</t>
  </si>
  <si>
    <t>B-14, B-15, B-16, B-17, D-23, D-24</t>
  </si>
  <si>
    <t>S1 Edge: Out of stock / Limited availability; S2 Edge: Sold out on detail</t>
  </si>
  <si>
    <t>1. Check TicketType in types/firestore.ts and seed data
2. Try to set a tier to 0 or 5 tickets left</t>
  </si>
  <si>
    <t>Sold-out cards labelled and disabled; "Only X left" label; sold-out banner on detail</t>
  </si>
  <si>
    <t>No stock field exists, so none of these states can occur</t>
  </si>
  <si>
    <t>Price ranges not supported</t>
  </si>
  <si>
    <t>1. Check TicketType.priceAud</t>
  </si>
  <si>
    <t>Card shows a range, e.g. "$450-$550"</t>
  </si>
  <si>
    <t>Only one price per ticket type (priceAud: number)</t>
  </si>
  <si>
    <t>Empty state wording differs and has no FAQ/waitlist link</t>
  </si>
  <si>
    <t>B-19, B-20</t>
  </si>
  <si>
    <t>1. Empty the ticketType collection
2. Open /tickets</t>
  </si>
  <si>
    <t>"All tickets are currently sold out. Check back later" with FAQ/waitlist link</t>
  </si>
  <si>
    <t>"No tickets available / Please check back soon..." with no link (TicketBrowseClient.tsx)</t>
  </si>
  <si>
    <t>Spinner instead of skeleton loaders</t>
  </si>
  <si>
    <t>1. Throttle network to Slow 3G in dev tools
2. Open /tickets</t>
  </si>
  <si>
    <t>Skeleton placeholder per card</t>
  </si>
  <si>
    <t>Single spinner with "Loading tickets..." (TicketElements.tsx TicketLoading)</t>
  </si>
  <si>
    <t>Buttons below 44px minimum touch size</t>
  </si>
  <si>
    <t>1. Open /tickets at 375px
2. Inspect a button height in dev tools</t>
  </si>
  <si>
    <t>Buttons at least 44px tall/wide</t>
  </si>
  <si>
    <t>Buttons about 38px tall (text-sm, py-2, 1px border); close (X) button about 38px square</t>
  </si>
  <si>
    <t>Detail shows day abbreviations, not actual dates</t>
  </si>
  <si>
    <t>1. Open /tickets
2. Click "View details" on a 4-day ticket</t>
  </si>
  <si>
    <t>Actual dates, e.g. Fri 13 - Sun 15 March</t>
  </si>
  <si>
    <t>Shows "Thu, Fri, Sat, Sun"</t>
  </si>
  <si>
    <t>No seat description or zone map</t>
  </si>
  <si>
    <t>D-04, D-05, D-20</t>
  </si>
  <si>
    <t>S2 AC: Zone/Location, Zone map</t>
  </si>
  <si>
    <t>1. Open any ticket's details</t>
  </si>
  <si>
    <t>Zone name + seat description; zone map with alt text (or "Zone map not available")</t>
  </si>
  <si>
    <t>Only the zone name; no seat description or map fields in TicketType</t>
  </si>
  <si>
    <t>No cart: "Add to selection" instead of Add to cart</t>
  </si>
  <si>
    <t>D-10, D-11</t>
  </si>
  <si>
    <t>1. Open a ticket's details
2. Click the green button twice</t>
  </si>
  <si>
    <t>Cart count 0 -&gt; 1 with confirmation toast; agreed rule for a second click (Q-07)</t>
  </si>
  <si>
    <t>Ticket is added to an on-page selection panel; second click removes it. No cart or toast</t>
  </si>
  <si>
    <t>Detail has no URL; browser back and refresh not handled</t>
  </si>
  <si>
    <t>D-13, D-28</t>
  </si>
  <si>
    <t>Not in AC (Q-10)</t>
  </si>
  <si>
    <t>1. Go Dashboard -&gt; Browse tickets
2. Open a ticket's details
3. Press browser back (or refresh)</t>
  </si>
  <si>
    <t>Back returns to Browse at the same position; refresh/direct link shows the same ticket or a sensible fallback</t>
  </si>
  <si>
    <t>Back leaves /tickets and returns to the Dashboard; refresh closes the modal; no direct link possible</t>
  </si>
  <si>
    <t>No restriction warning</t>
  </si>
  <si>
    <t>1. Check TicketType for a restrictions field</t>
  </si>
  <si>
    <t>Restriction (e.g. 18+) shown in a prominent callout</t>
  </si>
  <si>
    <t>No restrictions field in the data model, so nothing is shown</t>
  </si>
  <si>
    <t>Q ID</t>
  </si>
  <si>
    <t>Story</t>
  </si>
  <si>
    <t>Question / ambiguity</t>
  </si>
  <si>
    <t>Why it matters for testing</t>
  </si>
  <si>
    <t>Affects</t>
  </si>
  <si>
    <t>Answer</t>
  </si>
  <si>
    <t>Answered by</t>
  </si>
  <si>
    <t>Q-01</t>
  </si>
  <si>
    <t>Q-02</t>
  </si>
  <si>
    <t>S1</t>
  </si>
  <si>
    <t>Low stock is "&lt; 20". Does exactly 20 show the label? Exact wording "Only X left"?</t>
  </si>
  <si>
    <t>Boundary test B-17 needs a fixed rule</t>
  </si>
  <si>
    <t>B-16, B-17</t>
  </si>
  <si>
    <t>Q-03</t>
  </si>
  <si>
    <t>S2</t>
  </si>
  <si>
    <t>Type &amp; price "unchanging" - does this mean sticky while scrolling, or just that the value doesn't change?</t>
  </si>
  <si>
    <t>Changes whether we test scroll behaviour</t>
  </si>
  <si>
    <t>Q-04</t>
  </si>
  <si>
    <t>Desktop says all sections visible without scrolling, but long lists (10+ items) are allowed. Which wins?</t>
  </si>
  <si>
    <t>The two ACs can't both pass for long tickets</t>
  </si>
  <si>
    <t>D-16, D-21</t>
  </si>
  <si>
    <t>Q-05</t>
  </si>
  <si>
    <t>Card button "enlarges" ticket info - is this a modal on Browse, or navigation to the Detail screen?</t>
  </si>
  <si>
    <t>Defines expected result for B-03 and links Story 1 to Story 2</t>
  </si>
  <si>
    <t>B-03, D-01</t>
  </si>
  <si>
    <t>Q-06</t>
  </si>
  <si>
    <t>Sold out while viewing - does the page update live, or only when the user clicks Add to cart?</t>
  </si>
  <si>
    <t>Decides how to trigger and test D-23</t>
  </si>
  <si>
    <t>Q-07</t>
  </si>
  <si>
    <t>Detail has no quantity selector, but checkout shows quantity. What happens when Add to cart is clicked twice?</t>
  </si>
  <si>
    <t>D-11 has no defined expected result</t>
  </si>
  <si>
    <t>Q-08</t>
  </si>
  <si>
    <t>"Recommended order" - who defines it, and is it price ascending or descending by default?</t>
  </si>
  <si>
    <t>B-04 needs a known correct order</t>
  </si>
  <si>
    <t>Empty state link: FAQ or waitlist? Where do they point?</t>
  </si>
  <si>
    <t>B-20 needs target URLs</t>
  </si>
  <si>
    <t>Browser back button, page refresh and direct links to a detail page aren't covered. What's expected?</t>
  </si>
  <si>
    <t>Common real-world paths; currently untestable</t>
  </si>
  <si>
    <t>Q-9</t>
  </si>
  <si>
    <t>Availability should be re-checked when the user clicks Add to cart. If the ticket has sold out since the page loaded, the add should fail and the page should update to show Sold out.</t>
  </si>
  <si>
    <t>Clicking Add to cart twice should increase the quantity of the existing cart item rather than create a duplicate line item, subject to any purchase limit</t>
  </si>
  <si>
    <t>“Recommended order” should be defined by the product/design team. If two tickets have the same recommendation priority, use price ascending as the default tie-breaker.</t>
  </si>
  <si>
    <t>The empty-state link should point to a waitlist/availability notification option rather than a general FAQ, since that is more directly useful when no tickets are available.</t>
  </si>
  <si>
    <t>Browser back should return the user to their previous page/state where possible. Refreshing or directly opening a valid detail URL should load that ticket normally; an invalid/non-existent ticket URL should show a clear not-found state rather than break the page.</t>
  </si>
  <si>
    <t>Julias Dev</t>
  </si>
  <si>
    <t>Not implemented</t>
  </si>
  <si>
    <t>Blake Dev</t>
  </si>
  <si>
    <t xml:space="preserve">Implemnted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</si>
</sst>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4"/>
      <name val="Arial"/>
      <family val="2"/>
    </font>
    <font>
      <i/>
      <sz val="9"/>
      <color rgb="FF6B7280"/>
      <name val="Arial"/>
      <family val="2"/>
    </font>
    <font>
      <b/>
      <sz val="10"/>
      <color rgb="FFFFFFFF"/>
      <name val="Arial"/>
      <family val="2"/>
    </font>
    <font>
      <sz val="10"/>
      <name val="Arial"/>
      <family val="2"/>
    </font>
    <font>
      <b/>
      <sz val="10"/>
      <name val="Arial"/>
      <family val="2"/>
    </font>
    <font>
      <i/>
      <sz val="10"/>
      <color rgb="FF6B7280"/>
      <name val="Arial"/>
      <family val="2"/>
    </font>
    <font>
      <sz val="10"/>
      <color theme="1"/>
      <name val="Arial"/>
      <family val="2"/>
    </font>
  </fonts>
  <fills count="5">
    <fill>
      <patternFill patternType="none"/>
    </fill>
    <fill>
      <patternFill patternType="gray125"/>
    </fill>
    <fill>
      <patternFill patternType="solid">
        <fgColor rgb="FF1F2937"/>
      </patternFill>
    </fill>
    <fill>
      <patternFill patternType="solid">
        <fgColor rgb="FFFFF9DB"/>
      </patternFill>
    </fill>
    <fill>
      <patternFill patternType="solid">
        <fgColor rgb="FFE5E7EB"/>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19">
    <xf numFmtId="0" fontId="0" fillId="0" borderId="0" xfId="0"/>
    <xf numFmtId="0" fontId="1" fillId="0" borderId="0" xfId="0" applyFont="1"/>
    <xf numFmtId="0" fontId="2" fillId="0" borderId="0" xfId="0" applyFont="1"/>
    <xf numFmtId="0" fontId="3" fillId="2" borderId="1" xfId="0" applyFont="1" applyFill="1" applyBorder="1"/>
    <xf numFmtId="0" fontId="4" fillId="0" borderId="1" xfId="0" applyFont="1" applyBorder="1"/>
    <xf numFmtId="0" fontId="5" fillId="0" borderId="1" xfId="0" applyFont="1" applyBorder="1"/>
    <xf numFmtId="0" fontId="5" fillId="0" borderId="0" xfId="0" applyFont="1"/>
    <xf numFmtId="9" fontId="5" fillId="0" borderId="0" xfId="0" applyNumberFormat="1" applyFont="1"/>
    <xf numFmtId="0" fontId="4" fillId="0" borderId="0" xfId="0" applyFont="1"/>
    <xf numFmtId="0" fontId="3" fillId="2" borderId="1" xfId="0" applyFont="1" applyFill="1" applyBorder="1" applyAlignment="1">
      <alignment vertical="center" wrapText="1"/>
    </xf>
    <xf numFmtId="0" fontId="5" fillId="4" borderId="1" xfId="0" applyFont="1" applyFill="1" applyBorder="1"/>
    <xf numFmtId="0" fontId="0" fillId="4" borderId="1" xfId="0" applyFill="1" applyBorder="1"/>
    <xf numFmtId="0" fontId="4" fillId="0" borderId="1" xfId="0" applyFont="1" applyBorder="1" applyAlignment="1">
      <alignment vertical="top" wrapText="1"/>
    </xf>
    <xf numFmtId="0" fontId="4" fillId="3" borderId="1" xfId="0" applyFont="1" applyFill="1" applyBorder="1" applyAlignment="1">
      <alignment vertical="top" wrapText="1"/>
    </xf>
    <xf numFmtId="0" fontId="6" fillId="0" borderId="1" xfId="0" applyFont="1" applyBorder="1" applyAlignment="1">
      <alignment vertical="top" wrapText="1"/>
    </xf>
    <xf numFmtId="0" fontId="7" fillId="0" borderId="0" xfId="0" applyFont="1" applyAlignment="1">
      <alignment wrapText="1"/>
    </xf>
    <xf numFmtId="0" fontId="4" fillId="3" borderId="1" xfId="0" applyFont="1" applyFill="1" applyBorder="1" applyAlignment="1">
      <alignment horizontal="left" vertical="center" wrapText="1"/>
    </xf>
    <xf numFmtId="0" fontId="4" fillId="3" borderId="1" xfId="0" applyFont="1" applyFill="1" applyBorder="1" applyAlignment="1">
      <alignment vertical="center" wrapText="1"/>
    </xf>
    <xf numFmtId="0" fontId="4" fillId="0" borderId="0" xfId="0" applyFont="1" applyFill="1"/>
  </cellXfs>
  <cellStyles count="1">
    <cellStyle name="Normal" xfId="0" builtinId="0"/>
  </cellStyles>
  <dxfs count="4">
    <dxf>
      <fill>
        <patternFill>
          <bgColor rgb="FFE0E7FF"/>
        </patternFill>
      </fill>
    </dxf>
    <dxf>
      <fill>
        <patternFill>
          <bgColor rgb="FFFEF3C7"/>
        </patternFill>
      </fill>
    </dxf>
    <dxf>
      <fill>
        <patternFill>
          <bgColor rgb="FFFEE2E2"/>
        </patternFill>
      </fill>
    </dxf>
    <dxf>
      <fill>
        <patternFill>
          <bgColor rgb="FFD1FAE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workbookViewId="0">
      <selection activeCell="A15" sqref="A15"/>
    </sheetView>
  </sheetViews>
  <sheetFormatPr baseColWidth="10" defaultColWidth="8.83203125" defaultRowHeight="15" x14ac:dyDescent="0.2"/>
  <cols>
    <col min="1" max="1" width="22" customWidth="1"/>
    <col min="2" max="2" width="12" customWidth="1"/>
    <col min="3" max="4" width="13" customWidth="1"/>
  </cols>
  <sheetData>
    <row r="1" spans="1:4" ht="17.25" customHeight="1" x14ac:dyDescent="0.2">
      <c r="A1" s="1" t="s">
        <v>0</v>
      </c>
    </row>
    <row r="2" spans="1:4" x14ac:dyDescent="0.2">
      <c r="A2" s="2" t="s">
        <v>1</v>
      </c>
    </row>
    <row r="4" spans="1:4" x14ac:dyDescent="0.2">
      <c r="A4" s="3" t="s">
        <v>2</v>
      </c>
      <c r="B4" s="3" t="s">
        <v>3</v>
      </c>
      <c r="C4" s="3" t="s">
        <v>4</v>
      </c>
      <c r="D4" s="3" t="s">
        <v>5</v>
      </c>
    </row>
    <row r="5" spans="1:4" x14ac:dyDescent="0.2">
      <c r="A5" s="4" t="s">
        <v>6</v>
      </c>
      <c r="B5" s="4">
        <f>COUNTIFS('Test Scenarios'!$B:$B,"Browse",'Test Scenarios'!$J:$J,$A5)</f>
        <v>1</v>
      </c>
      <c r="C5" s="4">
        <f>COUNTIFS('Test Scenarios'!$B:$B,"Detail",'Test Scenarios'!$J:$J,$A5)+COUNTIFS('Test Scenarios'!$B:$B,"Both",'Test Scenarios'!$J:$J,$A5)</f>
        <v>0</v>
      </c>
      <c r="D5" s="4">
        <f>B5+C5</f>
        <v>1</v>
      </c>
    </row>
    <row r="6" spans="1:4" x14ac:dyDescent="0.2">
      <c r="A6" s="4" t="s">
        <v>7</v>
      </c>
      <c r="B6" s="4">
        <f>COUNTIFS('Test Scenarios'!$B:$B,"Browse",'Test Scenarios'!$J:$J,$A6)</f>
        <v>5</v>
      </c>
      <c r="C6" s="4">
        <f>COUNTIFS('Test Scenarios'!$B:$B,"Detail",'Test Scenarios'!$J:$J,$A6)+COUNTIFS('Test Scenarios'!$B:$B,"Both",'Test Scenarios'!$J:$J,$A6)</f>
        <v>3</v>
      </c>
      <c r="D6" s="4">
        <f>B6+C6</f>
        <v>8</v>
      </c>
    </row>
    <row r="7" spans="1:4" x14ac:dyDescent="0.2">
      <c r="A7" s="4" t="s">
        <v>8</v>
      </c>
      <c r="B7" s="4">
        <f>COUNTIFS('Test Scenarios'!$B:$B,"Browse",'Test Scenarios'!$J:$J,$A7)</f>
        <v>0</v>
      </c>
      <c r="C7" s="4">
        <f>COUNTIFS('Test Scenarios'!$B:$B,"Detail",'Test Scenarios'!$J:$J,$A7)+COUNTIFS('Test Scenarios'!$B:$B,"Both",'Test Scenarios'!$J:$J,$A7)</f>
        <v>0</v>
      </c>
      <c r="D7" s="4">
        <f>B7+C7</f>
        <v>0</v>
      </c>
    </row>
    <row r="8" spans="1:4" x14ac:dyDescent="0.2">
      <c r="A8" s="4" t="s">
        <v>9</v>
      </c>
      <c r="B8" s="4">
        <f>COUNTIFS('Test Scenarios'!$B:$B,"Browse",'Test Scenarios'!$J:$J,$A8)</f>
        <v>8</v>
      </c>
      <c r="C8" s="4">
        <f>COUNTIFS('Test Scenarios'!$B:$B,"Detail",'Test Scenarios'!$J:$J,$A8)+COUNTIFS('Test Scenarios'!$B:$B,"Both",'Test Scenarios'!$J:$J,$A8)</f>
        <v>8</v>
      </c>
      <c r="D8" s="4">
        <f>B8+C8</f>
        <v>16</v>
      </c>
    </row>
    <row r="9" spans="1:4" x14ac:dyDescent="0.2">
      <c r="A9" s="4" t="s">
        <v>10</v>
      </c>
      <c r="B9" s="4">
        <f>COUNTIFS('Test Scenarios'!$B:$B,"Browse",'Test Scenarios'!$J:$J,$A9)</f>
        <v>11</v>
      </c>
      <c r="C9" s="4">
        <f>COUNTIFS('Test Scenarios'!$B:$B,"Detail",'Test Scenarios'!$J:$J,$A9)+COUNTIFS('Test Scenarios'!$B:$B,"Both",'Test Scenarios'!$J:$J,$A9)</f>
        <v>17</v>
      </c>
      <c r="D9" s="4">
        <f>B9+C9</f>
        <v>28</v>
      </c>
    </row>
    <row r="10" spans="1:4" x14ac:dyDescent="0.2">
      <c r="A10" s="5" t="s">
        <v>5</v>
      </c>
      <c r="B10" s="5">
        <f>SUM(B5:B9)</f>
        <v>25</v>
      </c>
      <c r="C10" s="5">
        <f>SUM(C5:C9)</f>
        <v>28</v>
      </c>
      <c r="D10" s="5">
        <f>SUM(D5:D9)</f>
        <v>53</v>
      </c>
    </row>
    <row r="11" spans="1:4" x14ac:dyDescent="0.2">
      <c r="A11" s="6" t="s">
        <v>11</v>
      </c>
      <c r="D11" s="7">
        <f>IF(D10=0,0,D5/D10)</f>
        <v>1.8867924528301886E-2</v>
      </c>
    </row>
    <row r="12" spans="1:4" x14ac:dyDescent="0.2">
      <c r="A12" s="6" t="s">
        <v>12</v>
      </c>
      <c r="D12" s="6">
        <f>COUNTIF('Gap Log'!M3:M42,"Open")+COUNTIF('Gap Log'!M3:M42,"In progress")</f>
        <v>13</v>
      </c>
    </row>
    <row r="14" spans="1:4" x14ac:dyDescent="0.2">
      <c r="A14" s="6"/>
    </row>
    <row r="15" spans="1:4" x14ac:dyDescent="0.2">
      <c r="A15" s="18"/>
    </row>
    <row r="16" spans="1:4" x14ac:dyDescent="0.2">
      <c r="A16" s="8"/>
    </row>
    <row r="17" spans="1:1" x14ac:dyDescent="0.2">
      <c r="A17" s="8"/>
    </row>
    <row r="18" spans="1:1" x14ac:dyDescent="0.2">
      <c r="A18" s="8"/>
    </row>
    <row r="19" spans="1:1" x14ac:dyDescent="0.2">
      <c r="A19" s="8"/>
    </row>
    <row r="20" spans="1:1" x14ac:dyDescent="0.2">
      <c r="A20" s="8"/>
    </row>
  </sheetData>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56"/>
  <sheetViews>
    <sheetView tabSelected="1" workbookViewId="0">
      <pane xSplit="1" ySplit="1" topLeftCell="C2" activePane="bottomRight" state="frozen"/>
      <selection pane="topRight"/>
      <selection pane="bottomLeft"/>
      <selection pane="bottomRight" activeCell="I11" sqref="I11"/>
    </sheetView>
  </sheetViews>
  <sheetFormatPr baseColWidth="10" defaultColWidth="8.83203125" defaultRowHeight="15" x14ac:dyDescent="0.2"/>
  <cols>
    <col min="1" max="1" width="7" customWidth="1"/>
    <col min="2" max="2" width="9" customWidth="1"/>
    <col min="3" max="3" width="26" customWidth="1"/>
    <col min="4" max="4" width="13" customWidth="1"/>
    <col min="5" max="5" width="28" customWidth="1"/>
    <col min="6" max="7" width="30" customWidth="1"/>
    <col min="8" max="8" width="42" customWidth="1"/>
    <col min="9" max="9" width="30" customWidth="1"/>
    <col min="10" max="10" width="11" customWidth="1"/>
    <col min="11" max="11" width="9" customWidth="1"/>
    <col min="12" max="12" width="12" customWidth="1"/>
    <col min="13" max="13" width="13" customWidth="1"/>
    <col min="14" max="14" width="24" customWidth="1"/>
  </cols>
  <sheetData>
    <row r="1" spans="1:14" ht="30" customHeight="1" x14ac:dyDescent="0.2">
      <c r="A1" s="9" t="s">
        <v>13</v>
      </c>
      <c r="B1" s="9" t="s">
        <v>14</v>
      </c>
      <c r="C1" s="9" t="s">
        <v>15</v>
      </c>
      <c r="D1" s="9" t="s">
        <v>16</v>
      </c>
      <c r="E1" s="9" t="s">
        <v>17</v>
      </c>
      <c r="F1" s="9" t="s">
        <v>18</v>
      </c>
      <c r="G1" s="9" t="s">
        <v>19</v>
      </c>
      <c r="H1" s="9" t="s">
        <v>20</v>
      </c>
      <c r="I1" s="9" t="s">
        <v>21</v>
      </c>
      <c r="J1" s="9" t="s">
        <v>2</v>
      </c>
      <c r="K1" s="9" t="s">
        <v>22</v>
      </c>
      <c r="L1" s="9" t="s">
        <v>23</v>
      </c>
      <c r="M1" s="9" t="s">
        <v>24</v>
      </c>
      <c r="N1" s="9" t="s">
        <v>25</v>
      </c>
    </row>
    <row r="2" spans="1:14" ht="15" customHeight="1" x14ac:dyDescent="0.2">
      <c r="A2" s="10" t="s">
        <v>26</v>
      </c>
      <c r="B2" s="11"/>
      <c r="C2" s="11"/>
      <c r="D2" s="11"/>
      <c r="E2" s="11"/>
      <c r="F2" s="11"/>
      <c r="G2" s="11"/>
      <c r="H2" s="11"/>
      <c r="I2" s="11"/>
      <c r="J2" s="11"/>
      <c r="K2" s="11"/>
      <c r="L2" s="11"/>
      <c r="M2" s="11"/>
      <c r="N2" s="11"/>
    </row>
    <row r="3" spans="1:14" ht="40.25" customHeight="1" x14ac:dyDescent="0.2">
      <c r="A3" s="12" t="s">
        <v>27</v>
      </c>
      <c r="B3" s="12" t="s">
        <v>3</v>
      </c>
      <c r="C3" s="12" t="s">
        <v>28</v>
      </c>
      <c r="D3" s="12" t="s">
        <v>29</v>
      </c>
      <c r="E3" s="12" t="s">
        <v>30</v>
      </c>
      <c r="F3" s="12" t="s">
        <v>31</v>
      </c>
      <c r="G3" s="12" t="s">
        <v>32</v>
      </c>
      <c r="H3" s="12" t="s">
        <v>33</v>
      </c>
      <c r="I3" s="13" t="s">
        <v>34</v>
      </c>
      <c r="J3" s="13" t="s">
        <v>6</v>
      </c>
      <c r="K3" s="13"/>
      <c r="L3" s="13"/>
      <c r="M3" s="13" t="s">
        <v>35</v>
      </c>
      <c r="N3" s="13" t="s">
        <v>36</v>
      </c>
    </row>
    <row r="4" spans="1:14" ht="53" customHeight="1" x14ac:dyDescent="0.2">
      <c r="A4" s="12" t="s">
        <v>37</v>
      </c>
      <c r="B4" s="12" t="s">
        <v>3</v>
      </c>
      <c r="C4" s="12" t="s">
        <v>38</v>
      </c>
      <c r="D4" s="12" t="s">
        <v>29</v>
      </c>
      <c r="E4" s="12" t="s">
        <v>39</v>
      </c>
      <c r="F4" s="12" t="s">
        <v>40</v>
      </c>
      <c r="G4" s="12" t="s">
        <v>41</v>
      </c>
      <c r="H4" s="12" t="s">
        <v>42</v>
      </c>
      <c r="I4" s="13" t="s">
        <v>43</v>
      </c>
      <c r="J4" s="13" t="s">
        <v>7</v>
      </c>
      <c r="K4" s="13" t="s">
        <v>44</v>
      </c>
      <c r="L4" s="13"/>
      <c r="M4" s="13" t="s">
        <v>35</v>
      </c>
      <c r="N4" s="13" t="s">
        <v>45</v>
      </c>
    </row>
    <row r="5" spans="1:14" ht="53" customHeight="1" x14ac:dyDescent="0.2">
      <c r="A5" s="12" t="s">
        <v>46</v>
      </c>
      <c r="B5" s="12" t="s">
        <v>3</v>
      </c>
      <c r="C5" s="12" t="s">
        <v>47</v>
      </c>
      <c r="D5" s="12" t="s">
        <v>29</v>
      </c>
      <c r="E5" s="12" t="s">
        <v>48</v>
      </c>
      <c r="F5" s="12" t="s">
        <v>49</v>
      </c>
      <c r="G5" s="12" t="s">
        <v>50</v>
      </c>
      <c r="H5" s="12" t="s">
        <v>51</v>
      </c>
      <c r="I5" s="13"/>
      <c r="J5" s="13" t="s">
        <v>10</v>
      </c>
      <c r="K5" s="13"/>
      <c r="L5" s="13"/>
      <c r="M5" s="13" t="s">
        <v>35</v>
      </c>
      <c r="N5" s="13" t="s">
        <v>52</v>
      </c>
    </row>
    <row r="6" spans="1:14" ht="40.25" customHeight="1" x14ac:dyDescent="0.2">
      <c r="A6" s="12" t="s">
        <v>53</v>
      </c>
      <c r="B6" s="12" t="s">
        <v>3</v>
      </c>
      <c r="C6" s="12" t="s">
        <v>54</v>
      </c>
      <c r="D6" s="12" t="s">
        <v>29</v>
      </c>
      <c r="E6" s="12" t="s">
        <v>55</v>
      </c>
      <c r="F6" s="12" t="s">
        <v>56</v>
      </c>
      <c r="G6" s="12" t="s">
        <v>57</v>
      </c>
      <c r="H6" s="12" t="s">
        <v>58</v>
      </c>
      <c r="I6" s="13" t="s">
        <v>59</v>
      </c>
      <c r="J6" s="13" t="s">
        <v>7</v>
      </c>
      <c r="K6" s="13" t="s">
        <v>60</v>
      </c>
      <c r="L6" s="13"/>
      <c r="M6" s="13" t="s">
        <v>35</v>
      </c>
      <c r="N6" s="13" t="s">
        <v>61</v>
      </c>
    </row>
    <row r="7" spans="1:14" ht="40.25" customHeight="1" x14ac:dyDescent="0.2">
      <c r="A7" s="12" t="s">
        <v>62</v>
      </c>
      <c r="B7" s="12" t="s">
        <v>3</v>
      </c>
      <c r="C7" s="12" t="s">
        <v>63</v>
      </c>
      <c r="D7" s="12" t="s">
        <v>64</v>
      </c>
      <c r="E7" s="12" t="s">
        <v>65</v>
      </c>
      <c r="F7" s="12" t="s">
        <v>49</v>
      </c>
      <c r="G7" s="12" t="s">
        <v>66</v>
      </c>
      <c r="H7" s="12" t="s">
        <v>67</v>
      </c>
      <c r="I7" s="13"/>
      <c r="J7" s="13" t="s">
        <v>10</v>
      </c>
      <c r="K7" s="13"/>
      <c r="L7" s="13"/>
      <c r="M7" s="13" t="s">
        <v>35</v>
      </c>
      <c r="N7" s="13" t="s">
        <v>68</v>
      </c>
    </row>
    <row r="8" spans="1:14" ht="40.25" customHeight="1" x14ac:dyDescent="0.2">
      <c r="A8" s="12" t="s">
        <v>69</v>
      </c>
      <c r="B8" s="12" t="s">
        <v>3</v>
      </c>
      <c r="C8" s="12" t="s">
        <v>70</v>
      </c>
      <c r="D8" s="12" t="s">
        <v>64</v>
      </c>
      <c r="E8" s="12" t="s">
        <v>71</v>
      </c>
      <c r="F8" s="12" t="s">
        <v>49</v>
      </c>
      <c r="G8" s="12" t="s">
        <v>72</v>
      </c>
      <c r="H8" s="12" t="s">
        <v>73</v>
      </c>
      <c r="I8" s="13"/>
      <c r="J8" s="13" t="s">
        <v>10</v>
      </c>
      <c r="K8" s="13"/>
      <c r="L8" s="13"/>
      <c r="M8" s="13" t="s">
        <v>35</v>
      </c>
      <c r="N8" s="13" t="s">
        <v>74</v>
      </c>
    </row>
    <row r="9" spans="1:14" ht="40.25" customHeight="1" x14ac:dyDescent="0.2">
      <c r="A9" s="12" t="s">
        <v>75</v>
      </c>
      <c r="B9" s="12" t="s">
        <v>3</v>
      </c>
      <c r="C9" s="12" t="s">
        <v>76</v>
      </c>
      <c r="D9" s="12" t="s">
        <v>64</v>
      </c>
      <c r="E9" s="12" t="s">
        <v>77</v>
      </c>
      <c r="F9" s="12" t="s">
        <v>49</v>
      </c>
      <c r="G9" s="12" t="s">
        <v>78</v>
      </c>
      <c r="H9" s="12" t="s">
        <v>79</v>
      </c>
      <c r="I9" s="13"/>
      <c r="J9" s="13" t="s">
        <v>10</v>
      </c>
      <c r="K9" s="13"/>
      <c r="L9" s="13"/>
      <c r="M9" s="13" t="s">
        <v>35</v>
      </c>
      <c r="N9" s="13" t="s">
        <v>80</v>
      </c>
    </row>
    <row r="10" spans="1:14" ht="27.5" customHeight="1" x14ac:dyDescent="0.2">
      <c r="A10" s="12" t="s">
        <v>81</v>
      </c>
      <c r="B10" s="12" t="s">
        <v>3</v>
      </c>
      <c r="C10" s="12" t="s">
        <v>82</v>
      </c>
      <c r="D10" s="12" t="s">
        <v>83</v>
      </c>
      <c r="E10" s="12" t="s">
        <v>84</v>
      </c>
      <c r="F10" s="12" t="s">
        <v>85</v>
      </c>
      <c r="G10" s="12" t="s">
        <v>57</v>
      </c>
      <c r="H10" s="12" t="s">
        <v>86</v>
      </c>
      <c r="I10" s="13"/>
      <c r="J10" s="13" t="s">
        <v>10</v>
      </c>
      <c r="K10" s="13"/>
      <c r="L10" s="13"/>
      <c r="M10" s="13"/>
      <c r="N10" s="13"/>
    </row>
    <row r="11" spans="1:14" ht="40.25" customHeight="1" x14ac:dyDescent="0.2">
      <c r="A11" s="12" t="s">
        <v>87</v>
      </c>
      <c r="B11" s="12" t="s">
        <v>3</v>
      </c>
      <c r="C11" s="12" t="s">
        <v>88</v>
      </c>
      <c r="D11" s="12" t="s">
        <v>83</v>
      </c>
      <c r="E11" s="12" t="s">
        <v>89</v>
      </c>
      <c r="F11" s="12" t="s">
        <v>90</v>
      </c>
      <c r="G11" s="12" t="s">
        <v>57</v>
      </c>
      <c r="H11" s="12" t="s">
        <v>91</v>
      </c>
      <c r="I11" s="13"/>
      <c r="J11" s="13" t="s">
        <v>10</v>
      </c>
      <c r="K11" s="13"/>
      <c r="L11" s="13"/>
      <c r="M11" s="13" t="s">
        <v>35</v>
      </c>
      <c r="N11" s="13" t="s">
        <v>92</v>
      </c>
    </row>
    <row r="12" spans="1:14" ht="27.5" customHeight="1" x14ac:dyDescent="0.2">
      <c r="A12" s="12" t="s">
        <v>93</v>
      </c>
      <c r="B12" s="12" t="s">
        <v>3</v>
      </c>
      <c r="C12" s="12" t="s">
        <v>94</v>
      </c>
      <c r="D12" s="12" t="s">
        <v>83</v>
      </c>
      <c r="E12" s="12" t="s">
        <v>95</v>
      </c>
      <c r="F12" s="12" t="s">
        <v>96</v>
      </c>
      <c r="G12" s="12" t="s">
        <v>57</v>
      </c>
      <c r="H12" s="12" t="s">
        <v>97</v>
      </c>
      <c r="I12" s="13"/>
      <c r="J12" s="13" t="s">
        <v>10</v>
      </c>
      <c r="K12" s="13"/>
      <c r="L12" s="13"/>
      <c r="M12" s="13"/>
      <c r="N12" s="13"/>
    </row>
    <row r="13" spans="1:14" ht="27.5" customHeight="1" x14ac:dyDescent="0.2">
      <c r="A13" s="12" t="s">
        <v>98</v>
      </c>
      <c r="B13" s="12" t="s">
        <v>3</v>
      </c>
      <c r="C13" s="12" t="s">
        <v>99</v>
      </c>
      <c r="D13" s="12" t="s">
        <v>100</v>
      </c>
      <c r="E13" s="12" t="s">
        <v>101</v>
      </c>
      <c r="F13" s="12" t="s">
        <v>102</v>
      </c>
      <c r="G13" s="12" t="s">
        <v>103</v>
      </c>
      <c r="H13" s="12" t="s">
        <v>104</v>
      </c>
      <c r="I13" s="13" t="s">
        <v>105</v>
      </c>
      <c r="J13" s="13" t="s">
        <v>9</v>
      </c>
      <c r="K13" s="13" t="s">
        <v>106</v>
      </c>
      <c r="L13" s="13"/>
      <c r="M13" s="13" t="s">
        <v>35</v>
      </c>
      <c r="N13" s="13"/>
    </row>
    <row r="14" spans="1:14" ht="40.25" customHeight="1" x14ac:dyDescent="0.2">
      <c r="A14" s="12" t="s">
        <v>107</v>
      </c>
      <c r="B14" s="12" t="s">
        <v>3</v>
      </c>
      <c r="C14" s="12" t="s">
        <v>108</v>
      </c>
      <c r="D14" s="12" t="s">
        <v>100</v>
      </c>
      <c r="E14" s="12" t="s">
        <v>109</v>
      </c>
      <c r="F14" s="12" t="s">
        <v>102</v>
      </c>
      <c r="G14" s="12" t="s">
        <v>110</v>
      </c>
      <c r="H14" s="12" t="s">
        <v>111</v>
      </c>
      <c r="I14" s="13" t="s">
        <v>112</v>
      </c>
      <c r="J14" s="13" t="s">
        <v>7</v>
      </c>
      <c r="K14" s="13" t="s">
        <v>106</v>
      </c>
      <c r="L14" s="13"/>
      <c r="M14" s="13" t="s">
        <v>35</v>
      </c>
      <c r="N14" s="13" t="s">
        <v>113</v>
      </c>
    </row>
    <row r="15" spans="1:14" ht="40.25" customHeight="1" x14ac:dyDescent="0.2">
      <c r="A15" s="12" t="s">
        <v>114</v>
      </c>
      <c r="B15" s="12" t="s">
        <v>3</v>
      </c>
      <c r="C15" s="12" t="s">
        <v>115</v>
      </c>
      <c r="D15" s="12" t="s">
        <v>100</v>
      </c>
      <c r="E15" s="12" t="s">
        <v>116</v>
      </c>
      <c r="F15" s="12" t="s">
        <v>49</v>
      </c>
      <c r="G15" s="12" t="s">
        <v>117</v>
      </c>
      <c r="H15" s="12" t="s">
        <v>118</v>
      </c>
      <c r="I15" s="13"/>
      <c r="J15" s="13" t="s">
        <v>10</v>
      </c>
      <c r="K15" s="13"/>
      <c r="L15" s="13"/>
      <c r="M15" s="13" t="s">
        <v>35</v>
      </c>
      <c r="N15" s="13" t="s">
        <v>119</v>
      </c>
    </row>
    <row r="16" spans="1:14" ht="40.25" customHeight="1" x14ac:dyDescent="0.2">
      <c r="A16" s="12" t="s">
        <v>120</v>
      </c>
      <c r="B16" s="12" t="s">
        <v>3</v>
      </c>
      <c r="C16" s="12" t="s">
        <v>121</v>
      </c>
      <c r="D16" s="12" t="s">
        <v>122</v>
      </c>
      <c r="E16" s="12" t="s">
        <v>123</v>
      </c>
      <c r="F16" s="12" t="s">
        <v>124</v>
      </c>
      <c r="G16" s="12" t="s">
        <v>125</v>
      </c>
      <c r="H16" s="12" t="s">
        <v>126</v>
      </c>
      <c r="I16" s="13" t="s">
        <v>127</v>
      </c>
      <c r="J16" s="13" t="s">
        <v>9</v>
      </c>
      <c r="K16" s="13" t="s">
        <v>128</v>
      </c>
      <c r="L16" s="13"/>
      <c r="M16" s="13" t="s">
        <v>35</v>
      </c>
      <c r="N16" s="13"/>
    </row>
    <row r="17" spans="1:14" ht="40.25" customHeight="1" x14ac:dyDescent="0.2">
      <c r="A17" s="12" t="s">
        <v>129</v>
      </c>
      <c r="B17" s="12" t="s">
        <v>3</v>
      </c>
      <c r="C17" s="12" t="s">
        <v>121</v>
      </c>
      <c r="D17" s="12" t="s">
        <v>122</v>
      </c>
      <c r="E17" s="12" t="s">
        <v>130</v>
      </c>
      <c r="F17" s="12" t="s">
        <v>131</v>
      </c>
      <c r="G17" s="12" t="s">
        <v>132</v>
      </c>
      <c r="H17" s="12" t="s">
        <v>133</v>
      </c>
      <c r="I17" s="13" t="s">
        <v>127</v>
      </c>
      <c r="J17" s="13" t="s">
        <v>9</v>
      </c>
      <c r="K17" s="13" t="s">
        <v>128</v>
      </c>
      <c r="L17" s="13"/>
      <c r="M17" s="13" t="s">
        <v>35</v>
      </c>
      <c r="N17" s="13"/>
    </row>
    <row r="18" spans="1:14" ht="40.25" customHeight="1" x14ac:dyDescent="0.2">
      <c r="A18" s="12" t="s">
        <v>134</v>
      </c>
      <c r="B18" s="12" t="s">
        <v>3</v>
      </c>
      <c r="C18" s="12" t="s">
        <v>135</v>
      </c>
      <c r="D18" s="12" t="s">
        <v>122</v>
      </c>
      <c r="E18" s="12" t="s">
        <v>136</v>
      </c>
      <c r="F18" s="12" t="s">
        <v>137</v>
      </c>
      <c r="G18" s="12" t="s">
        <v>125</v>
      </c>
      <c r="H18" s="12" t="s">
        <v>138</v>
      </c>
      <c r="I18" s="13" t="s">
        <v>139</v>
      </c>
      <c r="J18" s="13" t="s">
        <v>9</v>
      </c>
      <c r="K18" s="13" t="s">
        <v>128</v>
      </c>
      <c r="L18" s="13"/>
      <c r="M18" s="13" t="s">
        <v>35</v>
      </c>
      <c r="N18" s="13"/>
    </row>
    <row r="19" spans="1:14" ht="40.25" customHeight="1" x14ac:dyDescent="0.2">
      <c r="A19" s="12" t="s">
        <v>140</v>
      </c>
      <c r="B19" s="12" t="s">
        <v>3</v>
      </c>
      <c r="C19" s="12" t="s">
        <v>135</v>
      </c>
      <c r="D19" s="12" t="s">
        <v>122</v>
      </c>
      <c r="E19" s="12" t="s">
        <v>141</v>
      </c>
      <c r="F19" s="12" t="s">
        <v>142</v>
      </c>
      <c r="G19" s="12" t="s">
        <v>143</v>
      </c>
      <c r="H19" s="12" t="s">
        <v>144</v>
      </c>
      <c r="I19" s="13" t="s">
        <v>139</v>
      </c>
      <c r="J19" s="13" t="s">
        <v>9</v>
      </c>
      <c r="K19" s="13" t="s">
        <v>128</v>
      </c>
      <c r="L19" s="13"/>
      <c r="M19" s="13" t="s">
        <v>35</v>
      </c>
      <c r="N19" s="13" t="s">
        <v>145</v>
      </c>
    </row>
    <row r="20" spans="1:14" ht="40.25" customHeight="1" x14ac:dyDescent="0.2">
      <c r="A20" s="12" t="s">
        <v>146</v>
      </c>
      <c r="B20" s="12" t="s">
        <v>3</v>
      </c>
      <c r="C20" s="12" t="s">
        <v>147</v>
      </c>
      <c r="D20" s="12" t="s">
        <v>122</v>
      </c>
      <c r="E20" s="12" t="s">
        <v>148</v>
      </c>
      <c r="F20" s="12" t="s">
        <v>149</v>
      </c>
      <c r="G20" s="12" t="s">
        <v>125</v>
      </c>
      <c r="H20" s="12" t="s">
        <v>150</v>
      </c>
      <c r="I20" s="13" t="s">
        <v>151</v>
      </c>
      <c r="J20" s="13" t="s">
        <v>9</v>
      </c>
      <c r="K20" s="13" t="s">
        <v>152</v>
      </c>
      <c r="L20" s="13"/>
      <c r="M20" s="13" t="s">
        <v>35</v>
      </c>
      <c r="N20" s="13"/>
    </row>
    <row r="21" spans="1:14" ht="53" customHeight="1" x14ac:dyDescent="0.2">
      <c r="A21" s="12" t="s">
        <v>153</v>
      </c>
      <c r="B21" s="12" t="s">
        <v>3</v>
      </c>
      <c r="C21" s="12" t="s">
        <v>154</v>
      </c>
      <c r="D21" s="12" t="s">
        <v>155</v>
      </c>
      <c r="E21" s="12" t="s">
        <v>156</v>
      </c>
      <c r="F21" s="12" t="s">
        <v>157</v>
      </c>
      <c r="G21" s="12" t="s">
        <v>57</v>
      </c>
      <c r="H21" s="12" t="s">
        <v>158</v>
      </c>
      <c r="I21" s="13" t="s">
        <v>159</v>
      </c>
      <c r="J21" s="13" t="s">
        <v>7</v>
      </c>
      <c r="K21" s="13" t="s">
        <v>160</v>
      </c>
      <c r="L21" s="13"/>
      <c r="M21" s="13" t="s">
        <v>35</v>
      </c>
      <c r="N21" s="13" t="s">
        <v>161</v>
      </c>
    </row>
    <row r="22" spans="1:14" ht="27.5" customHeight="1" x14ac:dyDescent="0.2">
      <c r="A22" s="12" t="s">
        <v>162</v>
      </c>
      <c r="B22" s="12" t="s">
        <v>3</v>
      </c>
      <c r="C22" s="12" t="s">
        <v>154</v>
      </c>
      <c r="D22" s="12" t="s">
        <v>155</v>
      </c>
      <c r="E22" s="12" t="s">
        <v>163</v>
      </c>
      <c r="F22" s="12" t="s">
        <v>164</v>
      </c>
      <c r="G22" s="12" t="s">
        <v>165</v>
      </c>
      <c r="H22" s="12" t="s">
        <v>166</v>
      </c>
      <c r="I22" s="13" t="s">
        <v>167</v>
      </c>
      <c r="J22" s="13" t="s">
        <v>9</v>
      </c>
      <c r="K22" s="13" t="s">
        <v>160</v>
      </c>
      <c r="L22" s="13"/>
      <c r="M22" s="13" t="s">
        <v>35</v>
      </c>
      <c r="N22" s="13" t="s">
        <v>168</v>
      </c>
    </row>
    <row r="23" spans="1:14" ht="40.25" customHeight="1" x14ac:dyDescent="0.2">
      <c r="A23" s="12" t="s">
        <v>169</v>
      </c>
      <c r="B23" s="12" t="s">
        <v>3</v>
      </c>
      <c r="C23" s="12" t="s">
        <v>170</v>
      </c>
      <c r="D23" s="12" t="s">
        <v>155</v>
      </c>
      <c r="E23" s="12" t="s">
        <v>171</v>
      </c>
      <c r="F23" s="12" t="s">
        <v>172</v>
      </c>
      <c r="G23" s="12" t="s">
        <v>57</v>
      </c>
      <c r="H23" s="12" t="s">
        <v>173</v>
      </c>
      <c r="I23" s="13" t="s">
        <v>174</v>
      </c>
      <c r="J23" s="13" t="s">
        <v>9</v>
      </c>
      <c r="K23" s="13" t="s">
        <v>175</v>
      </c>
      <c r="L23" s="13"/>
      <c r="M23" s="13" t="s">
        <v>35</v>
      </c>
      <c r="N23" s="13"/>
    </row>
    <row r="24" spans="1:14" ht="40.25" customHeight="1" x14ac:dyDescent="0.2">
      <c r="A24" s="12" t="s">
        <v>176</v>
      </c>
      <c r="B24" s="12" t="s">
        <v>3</v>
      </c>
      <c r="C24" s="12" t="s">
        <v>177</v>
      </c>
      <c r="D24" s="12" t="s">
        <v>155</v>
      </c>
      <c r="E24" s="12" t="s">
        <v>178</v>
      </c>
      <c r="F24" s="12" t="s">
        <v>179</v>
      </c>
      <c r="G24" s="12" t="s">
        <v>57</v>
      </c>
      <c r="H24" s="12" t="s">
        <v>180</v>
      </c>
      <c r="I24" s="13"/>
      <c r="J24" s="13" t="s">
        <v>10</v>
      </c>
      <c r="K24" s="13"/>
      <c r="L24" s="13"/>
      <c r="M24" s="13" t="s">
        <v>35</v>
      </c>
      <c r="N24" s="13" t="s">
        <v>181</v>
      </c>
    </row>
    <row r="25" spans="1:14" ht="27.5" customHeight="1" x14ac:dyDescent="0.2">
      <c r="A25" s="12" t="s">
        <v>182</v>
      </c>
      <c r="B25" s="12" t="s">
        <v>3</v>
      </c>
      <c r="C25" s="12" t="s">
        <v>177</v>
      </c>
      <c r="D25" s="12" t="s">
        <v>155</v>
      </c>
      <c r="E25" s="12" t="s">
        <v>183</v>
      </c>
      <c r="F25" s="12" t="s">
        <v>184</v>
      </c>
      <c r="G25" s="12" t="s">
        <v>185</v>
      </c>
      <c r="H25" s="12" t="s">
        <v>186</v>
      </c>
      <c r="I25" s="13"/>
      <c r="J25" s="13" t="s">
        <v>10</v>
      </c>
      <c r="K25" s="13"/>
      <c r="L25" s="13"/>
      <c r="M25" s="13" t="s">
        <v>35</v>
      </c>
      <c r="N25" s="13" t="s">
        <v>187</v>
      </c>
    </row>
    <row r="26" spans="1:14" ht="40.25" customHeight="1" x14ac:dyDescent="0.2">
      <c r="A26" s="12" t="s">
        <v>188</v>
      </c>
      <c r="B26" s="12" t="s">
        <v>3</v>
      </c>
      <c r="C26" s="12" t="s">
        <v>189</v>
      </c>
      <c r="D26" s="12" t="s">
        <v>190</v>
      </c>
      <c r="E26" s="12" t="s">
        <v>191</v>
      </c>
      <c r="F26" s="12" t="s">
        <v>192</v>
      </c>
      <c r="G26" s="12" t="s">
        <v>193</v>
      </c>
      <c r="H26" s="12" t="s">
        <v>194</v>
      </c>
      <c r="I26" s="13"/>
      <c r="J26" s="13" t="s">
        <v>10</v>
      </c>
      <c r="K26" s="13"/>
      <c r="L26" s="13"/>
      <c r="M26" s="13" t="s">
        <v>35</v>
      </c>
      <c r="N26" s="13" t="s">
        <v>195</v>
      </c>
    </row>
    <row r="27" spans="1:14" ht="53" customHeight="1" x14ac:dyDescent="0.2">
      <c r="A27" s="12" t="s">
        <v>196</v>
      </c>
      <c r="B27" s="12" t="s">
        <v>3</v>
      </c>
      <c r="C27" s="12" t="s">
        <v>197</v>
      </c>
      <c r="D27" s="12" t="s">
        <v>83</v>
      </c>
      <c r="E27" s="12" t="s">
        <v>198</v>
      </c>
      <c r="F27" s="12" t="s">
        <v>199</v>
      </c>
      <c r="G27" s="12" t="s">
        <v>200</v>
      </c>
      <c r="H27" s="12" t="s">
        <v>201</v>
      </c>
      <c r="I27" s="13" t="s">
        <v>202</v>
      </c>
      <c r="J27" s="13" t="s">
        <v>7</v>
      </c>
      <c r="K27" s="13" t="s">
        <v>203</v>
      </c>
      <c r="L27" s="13"/>
      <c r="M27" s="13" t="s">
        <v>35</v>
      </c>
      <c r="N27" s="13" t="s">
        <v>204</v>
      </c>
    </row>
    <row r="28" spans="1:14" ht="15" customHeight="1" x14ac:dyDescent="0.2">
      <c r="A28" s="10" t="s">
        <v>205</v>
      </c>
      <c r="B28" s="11"/>
      <c r="C28" s="11"/>
      <c r="D28" s="11"/>
      <c r="E28" s="11"/>
      <c r="F28" s="11"/>
      <c r="G28" s="11"/>
      <c r="H28" s="11"/>
      <c r="I28" s="11"/>
      <c r="J28" s="11"/>
      <c r="K28" s="11"/>
      <c r="L28" s="11"/>
      <c r="M28" s="11"/>
      <c r="N28" s="11"/>
    </row>
    <row r="29" spans="1:14" ht="40.25" customHeight="1" x14ac:dyDescent="0.2">
      <c r="A29" s="12" t="s">
        <v>206</v>
      </c>
      <c r="B29" s="12" t="s">
        <v>4</v>
      </c>
      <c r="C29" s="12" t="s">
        <v>207</v>
      </c>
      <c r="D29" s="12" t="s">
        <v>29</v>
      </c>
      <c r="E29" s="12" t="s">
        <v>208</v>
      </c>
      <c r="F29" s="12" t="s">
        <v>49</v>
      </c>
      <c r="G29" s="12" t="s">
        <v>209</v>
      </c>
      <c r="H29" s="12" t="s">
        <v>210</v>
      </c>
      <c r="I29" s="13"/>
      <c r="J29" s="13" t="s">
        <v>10</v>
      </c>
      <c r="K29" s="13"/>
      <c r="L29" s="13"/>
      <c r="M29" s="13" t="s">
        <v>35</v>
      </c>
      <c r="N29" s="13" t="s">
        <v>211</v>
      </c>
    </row>
    <row r="30" spans="1:14" ht="40.25" customHeight="1" x14ac:dyDescent="0.2">
      <c r="A30" s="12" t="s">
        <v>212</v>
      </c>
      <c r="B30" s="12" t="s">
        <v>4</v>
      </c>
      <c r="C30" s="12" t="s">
        <v>213</v>
      </c>
      <c r="D30" s="12" t="s">
        <v>29</v>
      </c>
      <c r="E30" s="12" t="s">
        <v>214</v>
      </c>
      <c r="F30" s="12" t="s">
        <v>215</v>
      </c>
      <c r="G30" s="12" t="s">
        <v>216</v>
      </c>
      <c r="H30" s="12" t="s">
        <v>217</v>
      </c>
      <c r="I30" s="13"/>
      <c r="J30" s="13" t="s">
        <v>10</v>
      </c>
      <c r="K30" s="13"/>
      <c r="L30" s="13"/>
      <c r="M30" s="13" t="s">
        <v>35</v>
      </c>
      <c r="N30" s="13" t="s">
        <v>218</v>
      </c>
    </row>
    <row r="31" spans="1:14" ht="40.25" customHeight="1" x14ac:dyDescent="0.2">
      <c r="A31" s="12" t="s">
        <v>219</v>
      </c>
      <c r="B31" s="12" t="s">
        <v>4</v>
      </c>
      <c r="C31" s="12" t="s">
        <v>220</v>
      </c>
      <c r="D31" s="12" t="s">
        <v>29</v>
      </c>
      <c r="E31" s="12" t="s">
        <v>221</v>
      </c>
      <c r="F31" s="12" t="s">
        <v>222</v>
      </c>
      <c r="G31" s="12" t="s">
        <v>223</v>
      </c>
      <c r="H31" s="12" t="s">
        <v>224</v>
      </c>
      <c r="I31" s="13" t="s">
        <v>225</v>
      </c>
      <c r="J31" s="13" t="s">
        <v>7</v>
      </c>
      <c r="K31" s="13" t="s">
        <v>226</v>
      </c>
      <c r="L31" s="13"/>
      <c r="M31" s="13" t="s">
        <v>35</v>
      </c>
      <c r="N31" s="13"/>
    </row>
    <row r="32" spans="1:14" ht="27.5" customHeight="1" x14ac:dyDescent="0.2">
      <c r="A32" s="12" t="s">
        <v>227</v>
      </c>
      <c r="B32" s="12" t="s">
        <v>4</v>
      </c>
      <c r="C32" s="12" t="s">
        <v>228</v>
      </c>
      <c r="D32" s="12" t="s">
        <v>29</v>
      </c>
      <c r="E32" s="12" t="s">
        <v>229</v>
      </c>
      <c r="F32" s="12" t="s">
        <v>215</v>
      </c>
      <c r="G32" s="12" t="s">
        <v>230</v>
      </c>
      <c r="H32" s="12" t="s">
        <v>231</v>
      </c>
      <c r="I32" s="13" t="s">
        <v>232</v>
      </c>
      <c r="J32" s="13" t="s">
        <v>7</v>
      </c>
      <c r="K32" s="13" t="s">
        <v>233</v>
      </c>
      <c r="L32" s="13"/>
      <c r="M32" s="13" t="s">
        <v>35</v>
      </c>
      <c r="N32" s="13"/>
    </row>
    <row r="33" spans="1:14" ht="27.5" customHeight="1" x14ac:dyDescent="0.2">
      <c r="A33" s="12" t="s">
        <v>234</v>
      </c>
      <c r="B33" s="12" t="s">
        <v>4</v>
      </c>
      <c r="C33" s="12" t="s">
        <v>235</v>
      </c>
      <c r="D33" s="12" t="s">
        <v>29</v>
      </c>
      <c r="E33" s="12" t="s">
        <v>236</v>
      </c>
      <c r="F33" s="12" t="s">
        <v>237</v>
      </c>
      <c r="G33" s="12" t="s">
        <v>238</v>
      </c>
      <c r="H33" s="12" t="s">
        <v>239</v>
      </c>
      <c r="I33" s="13" t="s">
        <v>240</v>
      </c>
      <c r="J33" s="13" t="s">
        <v>9</v>
      </c>
      <c r="K33" s="13" t="s">
        <v>233</v>
      </c>
      <c r="L33" s="13"/>
      <c r="M33" s="13" t="s">
        <v>35</v>
      </c>
      <c r="N33" s="13"/>
    </row>
    <row r="34" spans="1:14" ht="40.25" customHeight="1" x14ac:dyDescent="0.2">
      <c r="A34" s="12" t="s">
        <v>241</v>
      </c>
      <c r="B34" s="12" t="s">
        <v>4</v>
      </c>
      <c r="C34" s="12" t="s">
        <v>242</v>
      </c>
      <c r="D34" s="12" t="s">
        <v>243</v>
      </c>
      <c r="E34" s="12" t="s">
        <v>244</v>
      </c>
      <c r="F34" s="12" t="s">
        <v>215</v>
      </c>
      <c r="G34" s="12" t="s">
        <v>245</v>
      </c>
      <c r="H34" s="12" t="s">
        <v>246</v>
      </c>
      <c r="I34" s="13"/>
      <c r="J34" s="13" t="s">
        <v>10</v>
      </c>
      <c r="K34" s="13"/>
      <c r="L34" s="13"/>
      <c r="M34" s="13" t="s">
        <v>35</v>
      </c>
      <c r="N34" s="13" t="s">
        <v>247</v>
      </c>
    </row>
    <row r="35" spans="1:14" ht="27.5" customHeight="1" x14ac:dyDescent="0.2">
      <c r="A35" s="12" t="s">
        <v>248</v>
      </c>
      <c r="B35" s="12" t="s">
        <v>4</v>
      </c>
      <c r="C35" s="12" t="s">
        <v>249</v>
      </c>
      <c r="D35" s="12" t="s">
        <v>29</v>
      </c>
      <c r="E35" s="12" t="s">
        <v>250</v>
      </c>
      <c r="F35" s="12" t="s">
        <v>251</v>
      </c>
      <c r="G35" s="12" t="s">
        <v>252</v>
      </c>
      <c r="H35" s="12" t="s">
        <v>253</v>
      </c>
      <c r="I35" s="13"/>
      <c r="J35" s="13" t="s">
        <v>10</v>
      </c>
      <c r="K35" s="13"/>
      <c r="L35" s="13"/>
      <c r="M35" s="13" t="s">
        <v>35</v>
      </c>
      <c r="N35" s="13" t="s">
        <v>254</v>
      </c>
    </row>
    <row r="36" spans="1:14" ht="27.5" customHeight="1" x14ac:dyDescent="0.2">
      <c r="A36" s="12" t="s">
        <v>255</v>
      </c>
      <c r="B36" s="12" t="s">
        <v>4</v>
      </c>
      <c r="C36" s="12" t="s">
        <v>256</v>
      </c>
      <c r="D36" s="12" t="s">
        <v>29</v>
      </c>
      <c r="E36" s="12" t="s">
        <v>257</v>
      </c>
      <c r="F36" s="12" t="s">
        <v>258</v>
      </c>
      <c r="G36" s="12" t="s">
        <v>259</v>
      </c>
      <c r="H36" s="12" t="s">
        <v>260</v>
      </c>
      <c r="I36" s="13"/>
      <c r="J36" s="13" t="s">
        <v>10</v>
      </c>
      <c r="K36" s="13"/>
      <c r="L36" s="13"/>
      <c r="M36" s="13" t="s">
        <v>35</v>
      </c>
      <c r="N36" s="13" t="s">
        <v>261</v>
      </c>
    </row>
    <row r="37" spans="1:14" ht="40.25" customHeight="1" x14ac:dyDescent="0.2">
      <c r="A37" s="12" t="s">
        <v>262</v>
      </c>
      <c r="B37" s="12" t="s">
        <v>4</v>
      </c>
      <c r="C37" s="12" t="s">
        <v>263</v>
      </c>
      <c r="D37" s="12" t="s">
        <v>64</v>
      </c>
      <c r="E37" s="12" t="s">
        <v>264</v>
      </c>
      <c r="F37" s="12" t="s">
        <v>215</v>
      </c>
      <c r="G37" s="12" t="s">
        <v>265</v>
      </c>
      <c r="H37" s="12" t="s">
        <v>266</v>
      </c>
      <c r="I37" s="13"/>
      <c r="J37" s="13" t="s">
        <v>10</v>
      </c>
      <c r="K37" s="13"/>
      <c r="L37" s="13"/>
      <c r="M37" s="13" t="s">
        <v>35</v>
      </c>
      <c r="N37" s="13" t="s">
        <v>267</v>
      </c>
    </row>
    <row r="38" spans="1:14" ht="40.25" customHeight="1" x14ac:dyDescent="0.2">
      <c r="A38" s="12" t="s">
        <v>268</v>
      </c>
      <c r="B38" s="12" t="s">
        <v>4</v>
      </c>
      <c r="C38" s="12" t="s">
        <v>269</v>
      </c>
      <c r="D38" s="12" t="s">
        <v>100</v>
      </c>
      <c r="E38" s="12" t="s">
        <v>270</v>
      </c>
      <c r="F38" s="12" t="s">
        <v>271</v>
      </c>
      <c r="G38" s="12" t="s">
        <v>272</v>
      </c>
      <c r="H38" s="12" t="s">
        <v>273</v>
      </c>
      <c r="I38" s="13" t="s">
        <v>274</v>
      </c>
      <c r="J38" s="13" t="s">
        <v>9</v>
      </c>
      <c r="K38" s="13" t="s">
        <v>275</v>
      </c>
      <c r="L38" s="13"/>
      <c r="M38" s="13" t="s">
        <v>35</v>
      </c>
      <c r="N38" s="13"/>
    </row>
    <row r="39" spans="1:14" ht="27.5" customHeight="1" x14ac:dyDescent="0.2">
      <c r="A39" s="12" t="s">
        <v>276</v>
      </c>
      <c r="B39" s="12" t="s">
        <v>4</v>
      </c>
      <c r="C39" s="12" t="s">
        <v>269</v>
      </c>
      <c r="D39" s="12" t="s">
        <v>122</v>
      </c>
      <c r="E39" s="12" t="s">
        <v>277</v>
      </c>
      <c r="F39" s="12" t="s">
        <v>278</v>
      </c>
      <c r="G39" s="12" t="s">
        <v>279</v>
      </c>
      <c r="H39" s="12" t="s">
        <v>280</v>
      </c>
      <c r="I39" s="13" t="s">
        <v>281</v>
      </c>
      <c r="J39" s="13" t="s">
        <v>9</v>
      </c>
      <c r="K39" s="13" t="s">
        <v>275</v>
      </c>
      <c r="L39" s="13"/>
      <c r="M39" s="13" t="s">
        <v>35</v>
      </c>
      <c r="N39" s="13" t="s">
        <v>282</v>
      </c>
    </row>
    <row r="40" spans="1:14" ht="78.5" customHeight="1" x14ac:dyDescent="0.2">
      <c r="A40" s="12" t="s">
        <v>283</v>
      </c>
      <c r="B40" s="12" t="s">
        <v>4</v>
      </c>
      <c r="C40" s="12" t="s">
        <v>284</v>
      </c>
      <c r="D40" s="12" t="s">
        <v>100</v>
      </c>
      <c r="E40" s="12" t="s">
        <v>285</v>
      </c>
      <c r="F40" s="12" t="s">
        <v>286</v>
      </c>
      <c r="G40" s="12" t="s">
        <v>287</v>
      </c>
      <c r="H40" s="12" t="s">
        <v>288</v>
      </c>
      <c r="I40" s="13"/>
      <c r="J40" s="13" t="s">
        <v>10</v>
      </c>
      <c r="K40" s="13"/>
      <c r="L40" s="13"/>
      <c r="M40" s="13" t="s">
        <v>35</v>
      </c>
      <c r="N40" s="13" t="s">
        <v>289</v>
      </c>
    </row>
    <row r="41" spans="1:14" ht="40.25" customHeight="1" x14ac:dyDescent="0.2">
      <c r="A41" s="12" t="s">
        <v>290</v>
      </c>
      <c r="B41" s="12" t="s">
        <v>4</v>
      </c>
      <c r="C41" s="12" t="s">
        <v>291</v>
      </c>
      <c r="D41" s="12" t="s">
        <v>122</v>
      </c>
      <c r="E41" s="12" t="s">
        <v>292</v>
      </c>
      <c r="F41" s="12" t="s">
        <v>293</v>
      </c>
      <c r="G41" s="12" t="s">
        <v>294</v>
      </c>
      <c r="H41" s="12" t="s">
        <v>295</v>
      </c>
      <c r="I41" s="13" t="s">
        <v>296</v>
      </c>
      <c r="J41" s="13" t="s">
        <v>7</v>
      </c>
      <c r="K41" s="13" t="s">
        <v>297</v>
      </c>
      <c r="L41" s="13"/>
      <c r="M41" s="13" t="s">
        <v>35</v>
      </c>
      <c r="N41" s="13" t="s">
        <v>298</v>
      </c>
    </row>
    <row r="42" spans="1:14" ht="27.5" customHeight="1" x14ac:dyDescent="0.2">
      <c r="A42" s="12" t="s">
        <v>299</v>
      </c>
      <c r="B42" s="12" t="s">
        <v>4</v>
      </c>
      <c r="C42" s="12" t="s">
        <v>300</v>
      </c>
      <c r="D42" s="12" t="s">
        <v>100</v>
      </c>
      <c r="E42" s="12" t="s">
        <v>301</v>
      </c>
      <c r="F42" s="12" t="s">
        <v>215</v>
      </c>
      <c r="G42" s="12" t="s">
        <v>302</v>
      </c>
      <c r="H42" s="12" t="s">
        <v>303</v>
      </c>
      <c r="I42" s="13"/>
      <c r="J42" s="13" t="s">
        <v>10</v>
      </c>
      <c r="K42" s="13"/>
      <c r="L42" s="13"/>
      <c r="M42" s="13" t="s">
        <v>35</v>
      </c>
      <c r="N42" s="13" t="s">
        <v>304</v>
      </c>
    </row>
    <row r="43" spans="1:14" ht="27.5" customHeight="1" x14ac:dyDescent="0.2">
      <c r="A43" s="12" t="s">
        <v>305</v>
      </c>
      <c r="B43" s="12" t="s">
        <v>4</v>
      </c>
      <c r="C43" s="12" t="s">
        <v>306</v>
      </c>
      <c r="D43" s="12" t="s">
        <v>64</v>
      </c>
      <c r="E43" s="12" t="s">
        <v>307</v>
      </c>
      <c r="F43" s="12" t="s">
        <v>215</v>
      </c>
      <c r="G43" s="12" t="s">
        <v>308</v>
      </c>
      <c r="H43" s="12" t="s">
        <v>309</v>
      </c>
      <c r="I43" s="13"/>
      <c r="J43" s="13" t="s">
        <v>10</v>
      </c>
      <c r="K43" s="13"/>
      <c r="L43" s="13"/>
      <c r="M43" s="13"/>
      <c r="N43" s="13"/>
    </row>
    <row r="44" spans="1:14" ht="40.25" customHeight="1" x14ac:dyDescent="0.2">
      <c r="A44" s="12" t="s">
        <v>310</v>
      </c>
      <c r="B44" s="12" t="s">
        <v>4</v>
      </c>
      <c r="C44" s="12" t="s">
        <v>311</v>
      </c>
      <c r="D44" s="12" t="s">
        <v>83</v>
      </c>
      <c r="E44" s="12" t="s">
        <v>312</v>
      </c>
      <c r="F44" s="12" t="s">
        <v>85</v>
      </c>
      <c r="G44" s="12" t="s">
        <v>313</v>
      </c>
      <c r="H44" s="12" t="s">
        <v>314</v>
      </c>
      <c r="I44" s="13"/>
      <c r="J44" s="13" t="s">
        <v>10</v>
      </c>
      <c r="K44" s="13"/>
      <c r="L44" s="13"/>
      <c r="M44" s="13" t="s">
        <v>35</v>
      </c>
      <c r="N44" s="13" t="s">
        <v>315</v>
      </c>
    </row>
    <row r="45" spans="1:14" ht="40.25" customHeight="1" x14ac:dyDescent="0.2">
      <c r="A45" s="12" t="s">
        <v>316</v>
      </c>
      <c r="B45" s="12" t="s">
        <v>4</v>
      </c>
      <c r="C45" s="12" t="s">
        <v>317</v>
      </c>
      <c r="D45" s="12" t="s">
        <v>83</v>
      </c>
      <c r="E45" s="12" t="s">
        <v>318</v>
      </c>
      <c r="F45" s="12" t="s">
        <v>319</v>
      </c>
      <c r="G45" s="12" t="s">
        <v>313</v>
      </c>
      <c r="H45" s="12" t="s">
        <v>320</v>
      </c>
      <c r="I45" s="13"/>
      <c r="J45" s="13" t="s">
        <v>10</v>
      </c>
      <c r="K45" s="13"/>
      <c r="L45" s="13"/>
      <c r="M45" s="13" t="s">
        <v>35</v>
      </c>
      <c r="N45" s="13" t="s">
        <v>321</v>
      </c>
    </row>
    <row r="46" spans="1:14" ht="27.5" customHeight="1" x14ac:dyDescent="0.2">
      <c r="A46" s="12" t="s">
        <v>322</v>
      </c>
      <c r="B46" s="12" t="s">
        <v>4</v>
      </c>
      <c r="C46" s="12" t="s">
        <v>323</v>
      </c>
      <c r="D46" s="12" t="s">
        <v>83</v>
      </c>
      <c r="E46" s="12" t="s">
        <v>324</v>
      </c>
      <c r="F46" s="12" t="s">
        <v>325</v>
      </c>
      <c r="G46" s="12" t="s">
        <v>326</v>
      </c>
      <c r="H46" s="12" t="s">
        <v>327</v>
      </c>
      <c r="I46" s="13"/>
      <c r="J46" s="13" t="s">
        <v>10</v>
      </c>
      <c r="K46" s="13"/>
      <c r="L46" s="13"/>
      <c r="M46" s="13"/>
      <c r="N46" s="13"/>
    </row>
    <row r="47" spans="1:14" ht="53" customHeight="1" x14ac:dyDescent="0.2">
      <c r="A47" s="12" t="s">
        <v>328</v>
      </c>
      <c r="B47" s="12" t="s">
        <v>4</v>
      </c>
      <c r="C47" s="12" t="s">
        <v>329</v>
      </c>
      <c r="D47" s="12" t="s">
        <v>122</v>
      </c>
      <c r="E47" s="12" t="s">
        <v>330</v>
      </c>
      <c r="F47" s="12" t="s">
        <v>331</v>
      </c>
      <c r="G47" s="12" t="s">
        <v>332</v>
      </c>
      <c r="H47" s="12" t="s">
        <v>333</v>
      </c>
      <c r="I47" s="13"/>
      <c r="J47" s="13" t="s">
        <v>10</v>
      </c>
      <c r="K47" s="13"/>
      <c r="L47" s="13"/>
      <c r="M47" s="13" t="s">
        <v>35</v>
      </c>
      <c r="N47" s="13" t="s">
        <v>334</v>
      </c>
    </row>
    <row r="48" spans="1:14" ht="27.5" customHeight="1" x14ac:dyDescent="0.2">
      <c r="A48" s="12" t="s">
        <v>335</v>
      </c>
      <c r="B48" s="12" t="s">
        <v>4</v>
      </c>
      <c r="C48" s="12" t="s">
        <v>336</v>
      </c>
      <c r="D48" s="12" t="s">
        <v>122</v>
      </c>
      <c r="E48" s="12" t="s">
        <v>337</v>
      </c>
      <c r="F48" s="12" t="s">
        <v>338</v>
      </c>
      <c r="G48" s="12" t="s">
        <v>332</v>
      </c>
      <c r="H48" s="12" t="s">
        <v>339</v>
      </c>
      <c r="I48" s="13" t="s">
        <v>340</v>
      </c>
      <c r="J48" s="13" t="s">
        <v>9</v>
      </c>
      <c r="K48" s="13" t="s">
        <v>233</v>
      </c>
      <c r="L48" s="13"/>
      <c r="M48" s="13" t="s">
        <v>35</v>
      </c>
      <c r="N48" s="13"/>
    </row>
    <row r="49" spans="1:14" ht="40.25" customHeight="1" x14ac:dyDescent="0.2">
      <c r="A49" s="12" t="s">
        <v>341</v>
      </c>
      <c r="B49" s="12" t="s">
        <v>4</v>
      </c>
      <c r="C49" s="12" t="s">
        <v>342</v>
      </c>
      <c r="D49" s="12" t="s">
        <v>122</v>
      </c>
      <c r="E49" s="12" t="s">
        <v>343</v>
      </c>
      <c r="F49" s="12" t="s">
        <v>344</v>
      </c>
      <c r="G49" s="12" t="s">
        <v>345</v>
      </c>
      <c r="H49" s="12" t="s">
        <v>346</v>
      </c>
      <c r="I49" s="13"/>
      <c r="J49" s="13" t="s">
        <v>10</v>
      </c>
      <c r="K49" s="13"/>
      <c r="L49" s="13"/>
      <c r="M49" s="13" t="s">
        <v>35</v>
      </c>
      <c r="N49" s="13" t="s">
        <v>347</v>
      </c>
    </row>
    <row r="50" spans="1:14" ht="27.5" customHeight="1" x14ac:dyDescent="0.2">
      <c r="A50" s="12" t="s">
        <v>348</v>
      </c>
      <c r="B50" s="12" t="s">
        <v>4</v>
      </c>
      <c r="C50" s="12" t="s">
        <v>349</v>
      </c>
      <c r="D50" s="12" t="s">
        <v>122</v>
      </c>
      <c r="E50" s="12" t="s">
        <v>350</v>
      </c>
      <c r="F50" s="12" t="s">
        <v>351</v>
      </c>
      <c r="G50" s="12" t="s">
        <v>332</v>
      </c>
      <c r="H50" s="12" t="s">
        <v>352</v>
      </c>
      <c r="I50" s="13" t="s">
        <v>353</v>
      </c>
      <c r="J50" s="13" t="s">
        <v>9</v>
      </c>
      <c r="K50" s="13" t="s">
        <v>354</v>
      </c>
      <c r="L50" s="13"/>
      <c r="M50" s="13" t="s">
        <v>35</v>
      </c>
      <c r="N50" s="13"/>
    </row>
    <row r="51" spans="1:14" ht="40.25" customHeight="1" x14ac:dyDescent="0.2">
      <c r="A51" s="12" t="s">
        <v>355</v>
      </c>
      <c r="B51" s="12" t="s">
        <v>4</v>
      </c>
      <c r="C51" s="12" t="s">
        <v>356</v>
      </c>
      <c r="D51" s="12" t="s">
        <v>122</v>
      </c>
      <c r="E51" s="12" t="s">
        <v>357</v>
      </c>
      <c r="F51" s="12" t="s">
        <v>358</v>
      </c>
      <c r="G51" s="12" t="s">
        <v>359</v>
      </c>
      <c r="H51" s="12" t="s">
        <v>360</v>
      </c>
      <c r="I51" s="13" t="s">
        <v>361</v>
      </c>
      <c r="J51" s="13" t="s">
        <v>9</v>
      </c>
      <c r="K51" s="13" t="s">
        <v>128</v>
      </c>
      <c r="L51" s="13"/>
      <c r="M51" s="13" t="s">
        <v>35</v>
      </c>
      <c r="N51" s="13" t="s">
        <v>362</v>
      </c>
    </row>
    <row r="52" spans="1:14" ht="15" customHeight="1" x14ac:dyDescent="0.2">
      <c r="A52" s="12" t="s">
        <v>363</v>
      </c>
      <c r="B52" s="12" t="s">
        <v>4</v>
      </c>
      <c r="C52" s="12" t="s">
        <v>356</v>
      </c>
      <c r="D52" s="12" t="s">
        <v>122</v>
      </c>
      <c r="E52" s="12" t="s">
        <v>364</v>
      </c>
      <c r="F52" s="12" t="s">
        <v>365</v>
      </c>
      <c r="G52" s="12" t="s">
        <v>366</v>
      </c>
      <c r="H52" s="12" t="s">
        <v>367</v>
      </c>
      <c r="I52" s="13" t="s">
        <v>368</v>
      </c>
      <c r="J52" s="13" t="s">
        <v>9</v>
      </c>
      <c r="K52" s="13" t="s">
        <v>128</v>
      </c>
      <c r="L52" s="13"/>
      <c r="M52" s="13" t="s">
        <v>35</v>
      </c>
      <c r="N52" s="13"/>
    </row>
    <row r="53" spans="1:14" ht="53" customHeight="1" x14ac:dyDescent="0.2">
      <c r="A53" s="12" t="s">
        <v>369</v>
      </c>
      <c r="B53" s="12" t="s">
        <v>4</v>
      </c>
      <c r="C53" s="12" t="s">
        <v>370</v>
      </c>
      <c r="D53" s="12" t="s">
        <v>155</v>
      </c>
      <c r="E53" s="12" t="s">
        <v>371</v>
      </c>
      <c r="F53" s="12" t="s">
        <v>372</v>
      </c>
      <c r="G53" s="12" t="s">
        <v>332</v>
      </c>
      <c r="H53" s="12" t="s">
        <v>373</v>
      </c>
      <c r="I53" s="13"/>
      <c r="J53" s="13" t="s">
        <v>10</v>
      </c>
      <c r="K53" s="13"/>
      <c r="L53" s="13"/>
      <c r="M53" s="13" t="s">
        <v>35</v>
      </c>
      <c r="N53" s="13" t="s">
        <v>374</v>
      </c>
    </row>
    <row r="54" spans="1:14" ht="40.25" customHeight="1" x14ac:dyDescent="0.2">
      <c r="A54" s="12" t="s">
        <v>375</v>
      </c>
      <c r="B54" s="12" t="s">
        <v>376</v>
      </c>
      <c r="C54" s="12" t="s">
        <v>377</v>
      </c>
      <c r="D54" s="12" t="s">
        <v>243</v>
      </c>
      <c r="E54" s="12" t="s">
        <v>378</v>
      </c>
      <c r="F54" s="12" t="s">
        <v>379</v>
      </c>
      <c r="G54" s="12" t="s">
        <v>380</v>
      </c>
      <c r="H54" s="12" t="s">
        <v>381</v>
      </c>
      <c r="I54" s="13"/>
      <c r="J54" s="13" t="s">
        <v>10</v>
      </c>
      <c r="K54" s="13"/>
      <c r="L54" s="13"/>
      <c r="M54" s="13" t="s">
        <v>35</v>
      </c>
      <c r="N54" s="13" t="s">
        <v>382</v>
      </c>
    </row>
    <row r="55" spans="1:14" ht="65.75" customHeight="1" x14ac:dyDescent="0.2">
      <c r="A55" s="12" t="s">
        <v>383</v>
      </c>
      <c r="B55" s="12" t="s">
        <v>4</v>
      </c>
      <c r="C55" s="12" t="s">
        <v>189</v>
      </c>
      <c r="D55" s="12" t="s">
        <v>190</v>
      </c>
      <c r="E55" s="12" t="s">
        <v>384</v>
      </c>
      <c r="F55" s="12" t="s">
        <v>385</v>
      </c>
      <c r="G55" s="12" t="s">
        <v>386</v>
      </c>
      <c r="H55" s="12" t="s">
        <v>387</v>
      </c>
      <c r="I55" s="13"/>
      <c r="J55" s="13" t="s">
        <v>10</v>
      </c>
      <c r="K55" s="13"/>
      <c r="L55" s="13"/>
      <c r="M55" s="13" t="s">
        <v>35</v>
      </c>
      <c r="N55" s="13" t="s">
        <v>388</v>
      </c>
    </row>
    <row r="56" spans="1:14" ht="53" customHeight="1" x14ac:dyDescent="0.2">
      <c r="A56" s="12" t="s">
        <v>389</v>
      </c>
      <c r="B56" s="12" t="s">
        <v>4</v>
      </c>
      <c r="C56" s="12" t="s">
        <v>390</v>
      </c>
      <c r="D56" s="12" t="s">
        <v>122</v>
      </c>
      <c r="E56" s="12" t="s">
        <v>391</v>
      </c>
      <c r="F56" s="12" t="s">
        <v>392</v>
      </c>
      <c r="G56" s="12" t="s">
        <v>393</v>
      </c>
      <c r="H56" s="12" t="s">
        <v>394</v>
      </c>
      <c r="I56" s="13" t="s">
        <v>395</v>
      </c>
      <c r="J56" s="13" t="s">
        <v>9</v>
      </c>
      <c r="K56" s="13" t="s">
        <v>297</v>
      </c>
      <c r="L56" s="13"/>
      <c r="M56" s="13" t="s">
        <v>35</v>
      </c>
      <c r="N56" s="13" t="s">
        <v>298</v>
      </c>
    </row>
  </sheetData>
  <autoFilter ref="A1:N56" xr:uid="{00000000-0009-0000-0000-000001000000}"/>
  <conditionalFormatting sqref="J2:J56">
    <cfRule type="cellIs" dxfId="3" priority="1" operator="equal">
      <formula>"Pass"</formula>
    </cfRule>
    <cfRule type="cellIs" dxfId="2" priority="2" operator="equal">
      <formula>"Fail"</formula>
    </cfRule>
    <cfRule type="cellIs" dxfId="1" priority="3" operator="equal">
      <formula>"Blocked"</formula>
    </cfRule>
    <cfRule type="cellIs" dxfId="0" priority="4" operator="equal">
      <formula>"Not built"</formula>
    </cfRule>
  </conditionalFormatting>
  <dataValidations count="1">
    <dataValidation type="list" allowBlank="1" sqref="J2:J56" xr:uid="{00000000-0002-0000-0100-000000000000}">
      <formula1>"Not tested,Pass,Fail,Blocked,Not built"</formula1>
    </dataValidation>
  </dataValidations>
  <pageMargins left="0.75" right="0.75" top="1" bottom="1" header="0.5" footer="0.5"/>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42"/>
  <sheetViews>
    <sheetView workbookViewId="0">
      <pane xSplit="2" ySplit="1" topLeftCell="C2" activePane="bottomRight" state="frozen"/>
      <selection pane="topRight"/>
      <selection pane="bottomLeft"/>
      <selection pane="bottomRight"/>
    </sheetView>
  </sheetViews>
  <sheetFormatPr baseColWidth="10" defaultColWidth="8.83203125" defaultRowHeight="15" x14ac:dyDescent="0.2"/>
  <cols>
    <col min="1" max="1" width="8" customWidth="1"/>
    <col min="2" max="2" width="30" customWidth="1"/>
    <col min="3" max="3" width="10" customWidth="1"/>
    <col min="4" max="4" width="24" customWidth="1"/>
    <col min="5" max="5" width="9" customWidth="1"/>
    <col min="6" max="6" width="38" customWidth="1"/>
    <col min="7" max="8" width="30" customWidth="1"/>
    <col min="9" max="9" width="10" customWidth="1"/>
    <col min="10" max="10" width="18" customWidth="1"/>
    <col min="11" max="11" width="20" customWidth="1"/>
    <col min="12" max="12" width="14" customWidth="1"/>
    <col min="13" max="13" width="12" customWidth="1"/>
    <col min="14" max="14" width="13" customWidth="1"/>
  </cols>
  <sheetData>
    <row r="1" spans="1:14" ht="23.75" customHeight="1" x14ac:dyDescent="0.2">
      <c r="A1" s="9" t="s">
        <v>22</v>
      </c>
      <c r="B1" s="9" t="s">
        <v>396</v>
      </c>
      <c r="C1" s="9" t="s">
        <v>397</v>
      </c>
      <c r="D1" s="9" t="s">
        <v>15</v>
      </c>
      <c r="E1" s="9" t="s">
        <v>14</v>
      </c>
      <c r="F1" s="9" t="s">
        <v>398</v>
      </c>
      <c r="G1" s="9" t="s">
        <v>399</v>
      </c>
      <c r="H1" s="9" t="s">
        <v>400</v>
      </c>
      <c r="I1" s="9" t="s">
        <v>401</v>
      </c>
      <c r="J1" s="9" t="s">
        <v>402</v>
      </c>
      <c r="K1" s="9" t="s">
        <v>403</v>
      </c>
      <c r="L1" s="9" t="s">
        <v>404</v>
      </c>
      <c r="M1" s="9" t="s">
        <v>405</v>
      </c>
      <c r="N1" s="9" t="s">
        <v>406</v>
      </c>
    </row>
    <row r="2" spans="1:14" ht="40.25" customHeight="1" x14ac:dyDescent="0.2">
      <c r="A2" s="14" t="s">
        <v>407</v>
      </c>
      <c r="B2" s="14" t="s">
        <v>408</v>
      </c>
      <c r="C2" s="14" t="s">
        <v>129</v>
      </c>
      <c r="D2" s="14" t="s">
        <v>121</v>
      </c>
      <c r="E2" s="14" t="s">
        <v>3</v>
      </c>
      <c r="F2" s="14" t="s">
        <v>409</v>
      </c>
      <c r="G2" s="14" t="s">
        <v>410</v>
      </c>
      <c r="H2" s="14" t="s">
        <v>411</v>
      </c>
      <c r="I2" s="14" t="s">
        <v>412</v>
      </c>
      <c r="J2" s="14" t="s">
        <v>413</v>
      </c>
      <c r="K2" s="14" t="s">
        <v>414</v>
      </c>
      <c r="L2" s="14" t="s">
        <v>415</v>
      </c>
      <c r="M2" s="14" t="s">
        <v>416</v>
      </c>
      <c r="N2" s="14" t="s">
        <v>417</v>
      </c>
    </row>
    <row r="3" spans="1:14" ht="40.25" customHeight="1" x14ac:dyDescent="0.2">
      <c r="A3" s="13" t="s">
        <v>44</v>
      </c>
      <c r="B3" s="13" t="s">
        <v>418</v>
      </c>
      <c r="C3" s="13" t="s">
        <v>37</v>
      </c>
      <c r="D3" s="13" t="s">
        <v>38</v>
      </c>
      <c r="E3" s="13" t="s">
        <v>3</v>
      </c>
      <c r="F3" s="13" t="s">
        <v>419</v>
      </c>
      <c r="G3" s="13" t="s">
        <v>420</v>
      </c>
      <c r="H3" s="13" t="s">
        <v>421</v>
      </c>
      <c r="I3" s="13" t="s">
        <v>422</v>
      </c>
      <c r="J3" s="13" t="s">
        <v>423</v>
      </c>
      <c r="K3" s="13"/>
      <c r="L3" s="13"/>
      <c r="M3" s="13" t="s">
        <v>416</v>
      </c>
      <c r="N3" s="13" t="s">
        <v>35</v>
      </c>
    </row>
    <row r="4" spans="1:14" ht="40.25" customHeight="1" x14ac:dyDescent="0.2">
      <c r="A4" s="13" t="s">
        <v>60</v>
      </c>
      <c r="B4" s="13" t="s">
        <v>424</v>
      </c>
      <c r="C4" s="13" t="s">
        <v>53</v>
      </c>
      <c r="D4" s="13" t="s">
        <v>54</v>
      </c>
      <c r="E4" s="13" t="s">
        <v>3</v>
      </c>
      <c r="F4" s="13" t="s">
        <v>425</v>
      </c>
      <c r="G4" s="13" t="s">
        <v>426</v>
      </c>
      <c r="H4" s="13" t="s">
        <v>427</v>
      </c>
      <c r="I4" s="13" t="s">
        <v>422</v>
      </c>
      <c r="J4" s="13" t="s">
        <v>423</v>
      </c>
      <c r="K4" s="13"/>
      <c r="L4" s="13"/>
      <c r="M4" s="13" t="s">
        <v>416</v>
      </c>
      <c r="N4" s="13" t="s">
        <v>35</v>
      </c>
    </row>
    <row r="5" spans="1:14" ht="40.25" customHeight="1" x14ac:dyDescent="0.2">
      <c r="A5" s="13" t="s">
        <v>106</v>
      </c>
      <c r="B5" s="13" t="s">
        <v>428</v>
      </c>
      <c r="C5" s="13" t="s">
        <v>429</v>
      </c>
      <c r="D5" s="13" t="s">
        <v>430</v>
      </c>
      <c r="E5" s="13" t="s">
        <v>3</v>
      </c>
      <c r="F5" s="13" t="s">
        <v>431</v>
      </c>
      <c r="G5" s="13" t="s">
        <v>432</v>
      </c>
      <c r="H5" s="13" t="s">
        <v>433</v>
      </c>
      <c r="I5" s="13" t="s">
        <v>434</v>
      </c>
      <c r="J5" s="13" t="s">
        <v>423</v>
      </c>
      <c r="K5" s="13"/>
      <c r="L5" s="13"/>
      <c r="M5" s="13" t="s">
        <v>416</v>
      </c>
      <c r="N5" s="13" t="s">
        <v>35</v>
      </c>
    </row>
    <row r="6" spans="1:14" ht="53" customHeight="1" x14ac:dyDescent="0.2">
      <c r="A6" s="13" t="s">
        <v>128</v>
      </c>
      <c r="B6" s="13" t="s">
        <v>435</v>
      </c>
      <c r="C6" s="13" t="s">
        <v>436</v>
      </c>
      <c r="D6" s="13" t="s">
        <v>437</v>
      </c>
      <c r="E6" s="13" t="s">
        <v>376</v>
      </c>
      <c r="F6" s="13" t="s">
        <v>438</v>
      </c>
      <c r="G6" s="13" t="s">
        <v>439</v>
      </c>
      <c r="H6" s="13" t="s">
        <v>440</v>
      </c>
      <c r="I6" s="13" t="s">
        <v>412</v>
      </c>
      <c r="J6" s="13" t="s">
        <v>423</v>
      </c>
      <c r="K6" s="13"/>
      <c r="L6" s="13"/>
      <c r="M6" s="13" t="s">
        <v>416</v>
      </c>
      <c r="N6" s="13" t="s">
        <v>35</v>
      </c>
    </row>
    <row r="7" spans="1:14" ht="40.25" customHeight="1" x14ac:dyDescent="0.2">
      <c r="A7" s="13" t="s">
        <v>152</v>
      </c>
      <c r="B7" s="13" t="s">
        <v>441</v>
      </c>
      <c r="C7" s="13" t="s">
        <v>146</v>
      </c>
      <c r="D7" s="13" t="s">
        <v>147</v>
      </c>
      <c r="E7" s="13" t="s">
        <v>3</v>
      </c>
      <c r="F7" s="13" t="s">
        <v>442</v>
      </c>
      <c r="G7" s="13" t="s">
        <v>443</v>
      </c>
      <c r="H7" s="13" t="s">
        <v>444</v>
      </c>
      <c r="I7" s="13" t="s">
        <v>422</v>
      </c>
      <c r="J7" s="13" t="s">
        <v>423</v>
      </c>
      <c r="K7" s="13"/>
      <c r="L7" s="13"/>
      <c r="M7" s="13" t="s">
        <v>416</v>
      </c>
      <c r="N7" s="13" t="s">
        <v>35</v>
      </c>
    </row>
    <row r="8" spans="1:14" ht="40.25" customHeight="1" x14ac:dyDescent="0.2">
      <c r="A8" s="13" t="s">
        <v>160</v>
      </c>
      <c r="B8" s="13" t="s">
        <v>445</v>
      </c>
      <c r="C8" s="13" t="s">
        <v>446</v>
      </c>
      <c r="D8" s="13" t="s">
        <v>154</v>
      </c>
      <c r="E8" s="13" t="s">
        <v>3</v>
      </c>
      <c r="F8" s="13" t="s">
        <v>447</v>
      </c>
      <c r="G8" s="13" t="s">
        <v>448</v>
      </c>
      <c r="H8" s="13" t="s">
        <v>449</v>
      </c>
      <c r="I8" s="13" t="s">
        <v>434</v>
      </c>
      <c r="J8" s="13" t="s">
        <v>423</v>
      </c>
      <c r="K8" s="13"/>
      <c r="L8" s="13"/>
      <c r="M8" s="13" t="s">
        <v>416</v>
      </c>
      <c r="N8" s="13" t="s">
        <v>35</v>
      </c>
    </row>
    <row r="9" spans="1:14" ht="40.25" customHeight="1" x14ac:dyDescent="0.2">
      <c r="A9" s="13" t="s">
        <v>175</v>
      </c>
      <c r="B9" s="13" t="s">
        <v>450</v>
      </c>
      <c r="C9" s="13" t="s">
        <v>169</v>
      </c>
      <c r="D9" s="13" t="s">
        <v>170</v>
      </c>
      <c r="E9" s="13" t="s">
        <v>3</v>
      </c>
      <c r="F9" s="13" t="s">
        <v>451</v>
      </c>
      <c r="G9" s="13" t="s">
        <v>452</v>
      </c>
      <c r="H9" s="13" t="s">
        <v>453</v>
      </c>
      <c r="I9" s="13" t="s">
        <v>434</v>
      </c>
      <c r="J9" s="13" t="s">
        <v>423</v>
      </c>
      <c r="K9" s="13"/>
      <c r="L9" s="13"/>
      <c r="M9" s="13" t="s">
        <v>416</v>
      </c>
      <c r="N9" s="13" t="s">
        <v>35</v>
      </c>
    </row>
    <row r="10" spans="1:14" ht="40.25" customHeight="1" x14ac:dyDescent="0.2">
      <c r="A10" s="13" t="s">
        <v>203</v>
      </c>
      <c r="B10" s="13" t="s">
        <v>454</v>
      </c>
      <c r="C10" s="13" t="s">
        <v>196</v>
      </c>
      <c r="D10" s="13" t="s">
        <v>197</v>
      </c>
      <c r="E10" s="13" t="s">
        <v>376</v>
      </c>
      <c r="F10" s="13" t="s">
        <v>455</v>
      </c>
      <c r="G10" s="13" t="s">
        <v>456</v>
      </c>
      <c r="H10" s="13" t="s">
        <v>457</v>
      </c>
      <c r="I10" s="13" t="s">
        <v>422</v>
      </c>
      <c r="J10" s="13" t="s">
        <v>423</v>
      </c>
      <c r="K10" s="13"/>
      <c r="L10" s="13"/>
      <c r="M10" s="13" t="s">
        <v>416</v>
      </c>
      <c r="N10" s="13" t="s">
        <v>35</v>
      </c>
    </row>
    <row r="11" spans="1:14" ht="40.25" customHeight="1" x14ac:dyDescent="0.2">
      <c r="A11" s="13" t="s">
        <v>226</v>
      </c>
      <c r="B11" s="13" t="s">
        <v>458</v>
      </c>
      <c r="C11" s="13" t="s">
        <v>219</v>
      </c>
      <c r="D11" s="13" t="s">
        <v>220</v>
      </c>
      <c r="E11" s="13" t="s">
        <v>4</v>
      </c>
      <c r="F11" s="13" t="s">
        <v>459</v>
      </c>
      <c r="G11" s="13" t="s">
        <v>460</v>
      </c>
      <c r="H11" s="13" t="s">
        <v>461</v>
      </c>
      <c r="I11" s="13" t="s">
        <v>422</v>
      </c>
      <c r="J11" s="13" t="s">
        <v>423</v>
      </c>
      <c r="K11" s="13"/>
      <c r="L11" s="13"/>
      <c r="M11" s="13" t="s">
        <v>416</v>
      </c>
      <c r="N11" s="13" t="s">
        <v>35</v>
      </c>
    </row>
    <row r="12" spans="1:14" ht="40.25" customHeight="1" x14ac:dyDescent="0.2">
      <c r="A12" s="13" t="s">
        <v>233</v>
      </c>
      <c r="B12" s="13" t="s">
        <v>462</v>
      </c>
      <c r="C12" s="13" t="s">
        <v>463</v>
      </c>
      <c r="D12" s="13" t="s">
        <v>464</v>
      </c>
      <c r="E12" s="13" t="s">
        <v>4</v>
      </c>
      <c r="F12" s="13" t="s">
        <v>465</v>
      </c>
      <c r="G12" s="13" t="s">
        <v>466</v>
      </c>
      <c r="H12" s="13" t="s">
        <v>467</v>
      </c>
      <c r="I12" s="13" t="s">
        <v>412</v>
      </c>
      <c r="J12" s="13" t="s">
        <v>423</v>
      </c>
      <c r="K12" s="13"/>
      <c r="L12" s="13"/>
      <c r="M12" s="13" t="s">
        <v>416</v>
      </c>
      <c r="N12" s="13" t="s">
        <v>35</v>
      </c>
    </row>
    <row r="13" spans="1:14" ht="40.25" customHeight="1" x14ac:dyDescent="0.2">
      <c r="A13" s="13" t="s">
        <v>275</v>
      </c>
      <c r="B13" s="13" t="s">
        <v>468</v>
      </c>
      <c r="C13" s="13" t="s">
        <v>469</v>
      </c>
      <c r="D13" s="13" t="s">
        <v>269</v>
      </c>
      <c r="E13" s="13" t="s">
        <v>4</v>
      </c>
      <c r="F13" s="13" t="s">
        <v>470</v>
      </c>
      <c r="G13" s="13" t="s">
        <v>471</v>
      </c>
      <c r="H13" s="13" t="s">
        <v>472</v>
      </c>
      <c r="I13" s="13" t="s">
        <v>412</v>
      </c>
      <c r="J13" s="13" t="s">
        <v>423</v>
      </c>
      <c r="K13" s="13"/>
      <c r="L13" s="13"/>
      <c r="M13" s="13" t="s">
        <v>416</v>
      </c>
      <c r="N13" s="13" t="s">
        <v>35</v>
      </c>
    </row>
    <row r="14" spans="1:14" ht="53" customHeight="1" x14ac:dyDescent="0.2">
      <c r="A14" s="13" t="s">
        <v>297</v>
      </c>
      <c r="B14" s="13" t="s">
        <v>473</v>
      </c>
      <c r="C14" s="13" t="s">
        <v>474</v>
      </c>
      <c r="D14" s="13" t="s">
        <v>475</v>
      </c>
      <c r="E14" s="13" t="s">
        <v>4</v>
      </c>
      <c r="F14" s="13" t="s">
        <v>476</v>
      </c>
      <c r="G14" s="13" t="s">
        <v>477</v>
      </c>
      <c r="H14" s="13" t="s">
        <v>478</v>
      </c>
      <c r="I14" s="13" t="s">
        <v>434</v>
      </c>
      <c r="J14" s="13" t="s">
        <v>423</v>
      </c>
      <c r="K14" s="13"/>
      <c r="L14" s="13"/>
      <c r="M14" s="13" t="s">
        <v>416</v>
      </c>
      <c r="N14" s="13" t="s">
        <v>35</v>
      </c>
    </row>
    <row r="15" spans="1:14" ht="40.25" customHeight="1" x14ac:dyDescent="0.2">
      <c r="A15" s="13" t="s">
        <v>354</v>
      </c>
      <c r="B15" s="13" t="s">
        <v>479</v>
      </c>
      <c r="C15" s="13" t="s">
        <v>348</v>
      </c>
      <c r="D15" s="13" t="s">
        <v>349</v>
      </c>
      <c r="E15" s="13" t="s">
        <v>4</v>
      </c>
      <c r="F15" s="13" t="s">
        <v>480</v>
      </c>
      <c r="G15" s="13" t="s">
        <v>481</v>
      </c>
      <c r="H15" s="13" t="s">
        <v>482</v>
      </c>
      <c r="I15" s="13" t="s">
        <v>422</v>
      </c>
      <c r="J15" s="13" t="s">
        <v>423</v>
      </c>
      <c r="K15" s="13"/>
      <c r="L15" s="13"/>
      <c r="M15" s="13" t="s">
        <v>416</v>
      </c>
      <c r="N15" s="13" t="s">
        <v>35</v>
      </c>
    </row>
    <row r="16" spans="1:14" ht="15" customHeight="1" x14ac:dyDescent="0.2">
      <c r="A16" s="13"/>
      <c r="B16" s="13"/>
      <c r="C16" s="13"/>
      <c r="D16" s="13"/>
      <c r="E16" s="13"/>
      <c r="F16" s="13"/>
      <c r="G16" s="13"/>
      <c r="H16" s="13"/>
      <c r="I16" s="13"/>
      <c r="J16" s="13"/>
      <c r="K16" s="13"/>
      <c r="L16" s="13"/>
      <c r="M16" s="13"/>
      <c r="N16" s="13"/>
    </row>
    <row r="17" spans="1:14" ht="15" customHeight="1" x14ac:dyDescent="0.2">
      <c r="A17" s="13"/>
      <c r="B17" s="13"/>
      <c r="C17" s="13"/>
      <c r="D17" s="13"/>
      <c r="E17" s="13"/>
      <c r="F17" s="13"/>
      <c r="G17" s="13"/>
      <c r="H17" s="13"/>
      <c r="I17" s="13"/>
      <c r="J17" s="13"/>
      <c r="K17" s="13"/>
      <c r="L17" s="13"/>
      <c r="M17" s="13"/>
      <c r="N17" s="13"/>
    </row>
    <row r="18" spans="1:14" ht="15" customHeight="1" x14ac:dyDescent="0.2">
      <c r="A18" s="13"/>
      <c r="B18" s="13"/>
      <c r="C18" s="13"/>
      <c r="D18" s="13"/>
      <c r="E18" s="13"/>
      <c r="F18" s="13"/>
      <c r="G18" s="13"/>
      <c r="H18" s="13"/>
      <c r="I18" s="13"/>
      <c r="J18" s="13"/>
      <c r="K18" s="13"/>
      <c r="L18" s="13"/>
      <c r="M18" s="13"/>
      <c r="N18" s="13"/>
    </row>
    <row r="19" spans="1:14" ht="15" customHeight="1" x14ac:dyDescent="0.2">
      <c r="A19" s="13"/>
      <c r="B19" s="13"/>
      <c r="C19" s="13"/>
      <c r="D19" s="13"/>
      <c r="E19" s="13"/>
      <c r="F19" s="13"/>
      <c r="G19" s="13"/>
      <c r="H19" s="13"/>
      <c r="I19" s="13"/>
      <c r="J19" s="13"/>
      <c r="K19" s="13"/>
      <c r="L19" s="13"/>
      <c r="M19" s="13"/>
      <c r="N19" s="13"/>
    </row>
    <row r="20" spans="1:14" ht="15" customHeight="1" x14ac:dyDescent="0.2">
      <c r="A20" s="13"/>
      <c r="B20" s="13"/>
      <c r="C20" s="13"/>
      <c r="D20" s="13"/>
      <c r="E20" s="13"/>
      <c r="F20" s="13"/>
      <c r="G20" s="13"/>
      <c r="H20" s="13"/>
      <c r="I20" s="13"/>
      <c r="J20" s="13"/>
      <c r="K20" s="13"/>
      <c r="L20" s="13"/>
      <c r="M20" s="13"/>
      <c r="N20" s="13"/>
    </row>
    <row r="21" spans="1:14" ht="15" customHeight="1" x14ac:dyDescent="0.2">
      <c r="A21" s="13"/>
      <c r="B21" s="13"/>
      <c r="C21" s="13"/>
      <c r="D21" s="13"/>
      <c r="E21" s="13"/>
      <c r="F21" s="13"/>
      <c r="G21" s="13"/>
      <c r="H21" s="13"/>
      <c r="I21" s="13"/>
      <c r="J21" s="13"/>
      <c r="K21" s="13"/>
      <c r="L21" s="13"/>
      <c r="M21" s="13"/>
      <c r="N21" s="13"/>
    </row>
    <row r="22" spans="1:14" ht="15" customHeight="1" x14ac:dyDescent="0.2">
      <c r="A22" s="13"/>
      <c r="B22" s="13"/>
      <c r="C22" s="13"/>
      <c r="D22" s="13"/>
      <c r="E22" s="13"/>
      <c r="F22" s="13"/>
      <c r="G22" s="13"/>
      <c r="H22" s="13"/>
      <c r="I22" s="13"/>
      <c r="J22" s="13"/>
      <c r="K22" s="13"/>
      <c r="L22" s="13"/>
      <c r="M22" s="13"/>
      <c r="N22" s="13"/>
    </row>
    <row r="23" spans="1:14" ht="15" customHeight="1" x14ac:dyDescent="0.2">
      <c r="A23" s="13"/>
      <c r="B23" s="13"/>
      <c r="C23" s="13"/>
      <c r="D23" s="13"/>
      <c r="E23" s="13"/>
      <c r="F23" s="13"/>
      <c r="G23" s="13"/>
      <c r="H23" s="13"/>
      <c r="I23" s="13"/>
      <c r="J23" s="13"/>
      <c r="K23" s="13"/>
      <c r="L23" s="13"/>
      <c r="M23" s="13"/>
      <c r="N23" s="13"/>
    </row>
    <row r="24" spans="1:14" ht="15" customHeight="1" x14ac:dyDescent="0.2">
      <c r="A24" s="13"/>
      <c r="B24" s="13"/>
      <c r="C24" s="13"/>
      <c r="D24" s="13"/>
      <c r="E24" s="13"/>
      <c r="F24" s="13"/>
      <c r="G24" s="13"/>
      <c r="H24" s="13"/>
      <c r="I24" s="13"/>
      <c r="J24" s="13"/>
      <c r="K24" s="13"/>
      <c r="L24" s="13"/>
      <c r="M24" s="13"/>
      <c r="N24" s="13"/>
    </row>
    <row r="25" spans="1:14" ht="15" customHeight="1" x14ac:dyDescent="0.2">
      <c r="A25" s="13"/>
      <c r="B25" s="13"/>
      <c r="C25" s="13"/>
      <c r="D25" s="13"/>
      <c r="E25" s="13"/>
      <c r="F25" s="13"/>
      <c r="G25" s="13"/>
      <c r="H25" s="13"/>
      <c r="I25" s="13"/>
      <c r="J25" s="13"/>
      <c r="K25" s="13"/>
      <c r="L25" s="13"/>
      <c r="M25" s="13"/>
      <c r="N25" s="13"/>
    </row>
    <row r="26" spans="1:14" ht="15" customHeight="1" x14ac:dyDescent="0.2">
      <c r="A26" s="13"/>
      <c r="B26" s="13"/>
      <c r="C26" s="13"/>
      <c r="D26" s="13"/>
      <c r="E26" s="13"/>
      <c r="F26" s="13"/>
      <c r="G26" s="13"/>
      <c r="H26" s="13"/>
      <c r="I26" s="13"/>
      <c r="J26" s="13"/>
      <c r="K26" s="13"/>
      <c r="L26" s="13"/>
      <c r="M26" s="13"/>
      <c r="N26" s="13"/>
    </row>
    <row r="27" spans="1:14" ht="15" customHeight="1" x14ac:dyDescent="0.2">
      <c r="A27" s="13"/>
      <c r="B27" s="13"/>
      <c r="C27" s="13"/>
      <c r="D27" s="13"/>
      <c r="E27" s="13"/>
      <c r="F27" s="13"/>
      <c r="G27" s="13"/>
      <c r="H27" s="13"/>
      <c r="I27" s="13"/>
      <c r="J27" s="13"/>
      <c r="K27" s="13"/>
      <c r="L27" s="13"/>
      <c r="M27" s="13"/>
      <c r="N27" s="13"/>
    </row>
    <row r="28" spans="1:14" ht="15" customHeight="1" x14ac:dyDescent="0.2">
      <c r="A28" s="13"/>
      <c r="B28" s="13"/>
      <c r="C28" s="13"/>
      <c r="D28" s="13"/>
      <c r="E28" s="13"/>
      <c r="F28" s="13"/>
      <c r="G28" s="13"/>
      <c r="H28" s="13"/>
      <c r="I28" s="13"/>
      <c r="J28" s="13"/>
      <c r="K28" s="13"/>
      <c r="L28" s="13"/>
      <c r="M28" s="13"/>
      <c r="N28" s="13"/>
    </row>
    <row r="29" spans="1:14" ht="15" customHeight="1" x14ac:dyDescent="0.2">
      <c r="A29" s="13"/>
      <c r="B29" s="13"/>
      <c r="C29" s="13"/>
      <c r="D29" s="13"/>
      <c r="E29" s="13"/>
      <c r="F29" s="13"/>
      <c r="G29" s="13"/>
      <c r="H29" s="13"/>
      <c r="I29" s="13"/>
      <c r="J29" s="13"/>
      <c r="K29" s="13"/>
      <c r="L29" s="13"/>
      <c r="M29" s="13"/>
      <c r="N29" s="13"/>
    </row>
    <row r="30" spans="1:14" ht="15" customHeight="1" x14ac:dyDescent="0.2">
      <c r="A30" s="13"/>
      <c r="B30" s="13"/>
      <c r="C30" s="13"/>
      <c r="D30" s="13"/>
      <c r="E30" s="13"/>
      <c r="F30" s="13"/>
      <c r="G30" s="13"/>
      <c r="H30" s="13"/>
      <c r="I30" s="13"/>
      <c r="J30" s="13"/>
      <c r="K30" s="13"/>
      <c r="L30" s="13"/>
      <c r="M30" s="13"/>
      <c r="N30" s="13"/>
    </row>
    <row r="31" spans="1:14" ht="15" customHeight="1" x14ac:dyDescent="0.2">
      <c r="A31" s="13"/>
      <c r="B31" s="13"/>
      <c r="C31" s="13"/>
      <c r="D31" s="13"/>
      <c r="E31" s="13"/>
      <c r="F31" s="13"/>
      <c r="G31" s="13"/>
      <c r="H31" s="13"/>
      <c r="I31" s="13"/>
      <c r="J31" s="13"/>
      <c r="K31" s="13"/>
      <c r="L31" s="13"/>
      <c r="M31" s="13"/>
      <c r="N31" s="13"/>
    </row>
    <row r="32" spans="1:14" ht="15" customHeight="1" x14ac:dyDescent="0.2">
      <c r="A32" s="13"/>
      <c r="B32" s="13"/>
      <c r="C32" s="13"/>
      <c r="D32" s="13"/>
      <c r="E32" s="13"/>
      <c r="F32" s="13"/>
      <c r="G32" s="13"/>
      <c r="H32" s="13"/>
      <c r="I32" s="13"/>
      <c r="J32" s="13"/>
      <c r="K32" s="13"/>
      <c r="L32" s="13"/>
      <c r="M32" s="13"/>
      <c r="N32" s="13"/>
    </row>
    <row r="33" spans="1:14" ht="15" customHeight="1" x14ac:dyDescent="0.2">
      <c r="A33" s="13"/>
      <c r="B33" s="13"/>
      <c r="C33" s="13"/>
      <c r="D33" s="13"/>
      <c r="E33" s="13"/>
      <c r="F33" s="13"/>
      <c r="G33" s="13"/>
      <c r="H33" s="13"/>
      <c r="I33" s="13"/>
      <c r="J33" s="13"/>
      <c r="K33" s="13"/>
      <c r="L33" s="13"/>
      <c r="M33" s="13"/>
      <c r="N33" s="13"/>
    </row>
    <row r="34" spans="1:14" ht="15" customHeight="1" x14ac:dyDescent="0.2">
      <c r="A34" s="13"/>
      <c r="B34" s="13"/>
      <c r="C34" s="13"/>
      <c r="D34" s="13"/>
      <c r="E34" s="13"/>
      <c r="F34" s="13"/>
      <c r="G34" s="13"/>
      <c r="H34" s="13"/>
      <c r="I34" s="13"/>
      <c r="J34" s="13"/>
      <c r="K34" s="13"/>
      <c r="L34" s="13"/>
      <c r="M34" s="13"/>
      <c r="N34" s="13"/>
    </row>
    <row r="35" spans="1:14" ht="15" customHeight="1" x14ac:dyDescent="0.2">
      <c r="A35" s="13"/>
      <c r="B35" s="13"/>
      <c r="C35" s="13"/>
      <c r="D35" s="13"/>
      <c r="E35" s="13"/>
      <c r="F35" s="13"/>
      <c r="G35" s="13"/>
      <c r="H35" s="13"/>
      <c r="I35" s="13"/>
      <c r="J35" s="13"/>
      <c r="K35" s="13"/>
      <c r="L35" s="13"/>
      <c r="M35" s="13"/>
      <c r="N35" s="13"/>
    </row>
    <row r="36" spans="1:14" ht="15" customHeight="1" x14ac:dyDescent="0.2">
      <c r="A36" s="13"/>
      <c r="B36" s="13"/>
      <c r="C36" s="13"/>
      <c r="D36" s="13"/>
      <c r="E36" s="13"/>
      <c r="F36" s="13"/>
      <c r="G36" s="13"/>
      <c r="H36" s="13"/>
      <c r="I36" s="13"/>
      <c r="J36" s="13"/>
      <c r="K36" s="13"/>
      <c r="L36" s="13"/>
      <c r="M36" s="13"/>
      <c r="N36" s="13"/>
    </row>
    <row r="37" spans="1:14" ht="15" customHeight="1" x14ac:dyDescent="0.2">
      <c r="A37" s="13"/>
      <c r="B37" s="13"/>
      <c r="C37" s="13"/>
      <c r="D37" s="13"/>
      <c r="E37" s="13"/>
      <c r="F37" s="13"/>
      <c r="G37" s="13"/>
      <c r="H37" s="13"/>
      <c r="I37" s="13"/>
      <c r="J37" s="13"/>
      <c r="K37" s="13"/>
      <c r="L37" s="13"/>
      <c r="M37" s="13"/>
      <c r="N37" s="13"/>
    </row>
    <row r="38" spans="1:14" ht="15" customHeight="1" x14ac:dyDescent="0.2">
      <c r="A38" s="13"/>
      <c r="B38" s="13"/>
      <c r="C38" s="13"/>
      <c r="D38" s="13"/>
      <c r="E38" s="13"/>
      <c r="F38" s="13"/>
      <c r="G38" s="13"/>
      <c r="H38" s="13"/>
      <c r="I38" s="13"/>
      <c r="J38" s="13"/>
      <c r="K38" s="13"/>
      <c r="L38" s="13"/>
      <c r="M38" s="13"/>
      <c r="N38" s="13"/>
    </row>
    <row r="39" spans="1:14" ht="15" customHeight="1" x14ac:dyDescent="0.2">
      <c r="A39" s="13"/>
      <c r="B39" s="13"/>
      <c r="C39" s="13"/>
      <c r="D39" s="13"/>
      <c r="E39" s="13"/>
      <c r="F39" s="13"/>
      <c r="G39" s="13"/>
      <c r="H39" s="13"/>
      <c r="I39" s="13"/>
      <c r="J39" s="13"/>
      <c r="K39" s="13"/>
      <c r="L39" s="13"/>
      <c r="M39" s="13"/>
      <c r="N39" s="13"/>
    </row>
    <row r="40" spans="1:14" ht="15" customHeight="1" x14ac:dyDescent="0.2">
      <c r="A40" s="13"/>
      <c r="B40" s="13"/>
      <c r="C40" s="13"/>
      <c r="D40" s="13"/>
      <c r="E40" s="13"/>
      <c r="F40" s="13"/>
      <c r="G40" s="13"/>
      <c r="H40" s="13"/>
      <c r="I40" s="13"/>
      <c r="J40" s="13"/>
      <c r="K40" s="13"/>
      <c r="L40" s="13"/>
      <c r="M40" s="13"/>
      <c r="N40" s="13"/>
    </row>
    <row r="41" spans="1:14" ht="15" customHeight="1" x14ac:dyDescent="0.2">
      <c r="A41" s="13"/>
      <c r="B41" s="13"/>
      <c r="C41" s="13"/>
      <c r="D41" s="13"/>
      <c r="E41" s="13"/>
      <c r="F41" s="13"/>
      <c r="G41" s="13"/>
      <c r="H41" s="13"/>
      <c r="I41" s="13"/>
      <c r="J41" s="13"/>
      <c r="K41" s="13"/>
      <c r="L41" s="13"/>
      <c r="M41" s="13"/>
      <c r="N41" s="13"/>
    </row>
    <row r="42" spans="1:14" ht="15" customHeight="1" x14ac:dyDescent="0.2">
      <c r="A42" s="13"/>
      <c r="B42" s="13"/>
      <c r="C42" s="13"/>
      <c r="D42" s="13"/>
      <c r="E42" s="13"/>
      <c r="F42" s="13"/>
      <c r="G42" s="13"/>
      <c r="H42" s="13"/>
      <c r="I42" s="13"/>
      <c r="J42" s="13"/>
      <c r="K42" s="13"/>
      <c r="L42" s="13"/>
      <c r="M42" s="13"/>
      <c r="N42" s="13"/>
    </row>
  </sheetData>
  <dataValidations count="2">
    <dataValidation type="list" allowBlank="1" sqref="I3:I42" xr:uid="{00000000-0002-0000-0200-000000000000}">
      <formula1>"Critical,High,Medium,Low"</formula1>
    </dataValidation>
    <dataValidation type="list" allowBlank="1" sqref="M3:M42" xr:uid="{00000000-0002-0000-0200-000001000000}">
      <formula1>"Open,In progress,Fixed - retest,Closed,Won't fix"</formula1>
    </dataValidation>
  </dataValidations>
  <pageMargins left="0.75" right="0.75" top="1" bottom="1" header="0.5" footer="0.5"/>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
  <sheetViews>
    <sheetView workbookViewId="0">
      <pane ySplit="1" topLeftCell="A3" activePane="bottomLeft" state="frozen"/>
      <selection pane="bottomLeft" activeCell="F10" sqref="F10"/>
    </sheetView>
  </sheetViews>
  <sheetFormatPr baseColWidth="10" defaultColWidth="8.83203125" defaultRowHeight="15" x14ac:dyDescent="0.2"/>
  <cols>
    <col min="1" max="1" width="7" customWidth="1"/>
    <col min="2" max="2" width="8" customWidth="1"/>
    <col min="3" max="3" width="48" customWidth="1"/>
    <col min="4" max="4" width="40" customWidth="1"/>
    <col min="5" max="5" width="12" customWidth="1"/>
    <col min="6" max="6" width="45.83203125" customWidth="1"/>
    <col min="7" max="7" width="14" customWidth="1"/>
  </cols>
  <sheetData>
    <row r="1" spans="1:7" ht="69" customHeight="1" x14ac:dyDescent="0.2">
      <c r="A1" s="9" t="s">
        <v>483</v>
      </c>
      <c r="B1" s="9" t="s">
        <v>484</v>
      </c>
      <c r="C1" s="9" t="s">
        <v>485</v>
      </c>
      <c r="D1" s="9" t="s">
        <v>486</v>
      </c>
      <c r="E1" s="9" t="s">
        <v>487</v>
      </c>
      <c r="F1" s="9" t="s">
        <v>488</v>
      </c>
      <c r="G1" s="9" t="s">
        <v>489</v>
      </c>
    </row>
    <row r="2" spans="1:7" ht="69" customHeight="1" x14ac:dyDescent="0.2">
      <c r="A2" s="12" t="s">
        <v>490</v>
      </c>
      <c r="B2" s="12" t="s">
        <v>492</v>
      </c>
      <c r="C2" s="12" t="s">
        <v>493</v>
      </c>
      <c r="D2" s="12" t="s">
        <v>494</v>
      </c>
      <c r="E2" s="12" t="s">
        <v>495</v>
      </c>
      <c r="F2" s="17" t="s">
        <v>528</v>
      </c>
      <c r="G2" s="17" t="s">
        <v>529</v>
      </c>
    </row>
    <row r="3" spans="1:7" ht="69" customHeight="1" x14ac:dyDescent="0.2">
      <c r="A3" s="12" t="s">
        <v>491</v>
      </c>
      <c r="B3" s="12" t="s">
        <v>497</v>
      </c>
      <c r="C3" s="12" t="s">
        <v>498</v>
      </c>
      <c r="D3" s="12" t="s">
        <v>499</v>
      </c>
      <c r="E3" s="12" t="s">
        <v>212</v>
      </c>
      <c r="F3" s="17" t="s">
        <v>528</v>
      </c>
      <c r="G3" s="17" t="s">
        <v>529</v>
      </c>
    </row>
    <row r="4" spans="1:7" ht="69" customHeight="1" x14ac:dyDescent="0.2">
      <c r="A4" s="12" t="s">
        <v>496</v>
      </c>
      <c r="B4" s="12" t="s">
        <v>497</v>
      </c>
      <c r="C4" s="12" t="s">
        <v>501</v>
      </c>
      <c r="D4" s="12" t="s">
        <v>502</v>
      </c>
      <c r="E4" s="12" t="s">
        <v>503</v>
      </c>
      <c r="F4" s="17" t="s">
        <v>528</v>
      </c>
      <c r="G4" s="17" t="s">
        <v>529</v>
      </c>
    </row>
    <row r="5" spans="1:7" ht="69" customHeight="1" x14ac:dyDescent="0.2">
      <c r="A5" s="12" t="s">
        <v>500</v>
      </c>
      <c r="B5" s="12" t="s">
        <v>492</v>
      </c>
      <c r="C5" s="12" t="s">
        <v>505</v>
      </c>
      <c r="D5" s="12" t="s">
        <v>506</v>
      </c>
      <c r="E5" s="12" t="s">
        <v>507</v>
      </c>
      <c r="F5" s="17" t="s">
        <v>530</v>
      </c>
      <c r="G5" s="17" t="s">
        <v>529</v>
      </c>
    </row>
    <row r="6" spans="1:7" ht="69" customHeight="1" x14ac:dyDescent="0.2">
      <c r="A6" s="12" t="s">
        <v>504</v>
      </c>
      <c r="B6" s="12" t="s">
        <v>497</v>
      </c>
      <c r="C6" s="12" t="s">
        <v>509</v>
      </c>
      <c r="D6" s="12" t="s">
        <v>510</v>
      </c>
      <c r="E6" s="12" t="s">
        <v>355</v>
      </c>
      <c r="F6" s="15" t="s">
        <v>522</v>
      </c>
      <c r="G6" s="16" t="s">
        <v>527</v>
      </c>
    </row>
    <row r="7" spans="1:7" ht="69" customHeight="1" x14ac:dyDescent="0.2">
      <c r="A7" s="12" t="s">
        <v>508</v>
      </c>
      <c r="B7" s="12" t="s">
        <v>497</v>
      </c>
      <c r="C7" s="12" t="s">
        <v>512</v>
      </c>
      <c r="D7" s="12" t="s">
        <v>513</v>
      </c>
      <c r="E7" s="12" t="s">
        <v>276</v>
      </c>
      <c r="F7" s="15" t="s">
        <v>523</v>
      </c>
      <c r="G7" s="16" t="s">
        <v>527</v>
      </c>
    </row>
    <row r="8" spans="1:7" ht="69" customHeight="1" x14ac:dyDescent="0.2">
      <c r="A8" s="12" t="s">
        <v>511</v>
      </c>
      <c r="B8" s="12" t="s">
        <v>492</v>
      </c>
      <c r="C8" s="12" t="s">
        <v>515</v>
      </c>
      <c r="D8" s="12" t="s">
        <v>516</v>
      </c>
      <c r="E8" s="12" t="s">
        <v>53</v>
      </c>
      <c r="F8" s="15" t="s">
        <v>524</v>
      </c>
      <c r="G8" s="16" t="s">
        <v>527</v>
      </c>
    </row>
    <row r="9" spans="1:7" ht="69" customHeight="1" x14ac:dyDescent="0.2">
      <c r="A9" s="12" t="s">
        <v>514</v>
      </c>
      <c r="B9" s="12" t="s">
        <v>492</v>
      </c>
      <c r="C9" s="12" t="s">
        <v>517</v>
      </c>
      <c r="D9" s="12" t="s">
        <v>518</v>
      </c>
      <c r="E9" s="12" t="s">
        <v>162</v>
      </c>
      <c r="F9" s="15" t="s">
        <v>525</v>
      </c>
      <c r="G9" s="16" t="s">
        <v>527</v>
      </c>
    </row>
    <row r="10" spans="1:7" ht="69" customHeight="1" x14ac:dyDescent="0.2">
      <c r="A10" s="12" t="s">
        <v>521</v>
      </c>
      <c r="B10" s="12" t="s">
        <v>497</v>
      </c>
      <c r="C10" s="12" t="s">
        <v>519</v>
      </c>
      <c r="D10" s="12" t="s">
        <v>520</v>
      </c>
      <c r="E10" s="12" t="s">
        <v>474</v>
      </c>
      <c r="F10" s="15" t="s">
        <v>526</v>
      </c>
      <c r="G10" s="16" t="s">
        <v>527</v>
      </c>
    </row>
  </sheetData>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Summary</vt:lpstr>
      <vt:lpstr>Test Scenarios</vt:lpstr>
      <vt:lpstr>Gap Log</vt:lpstr>
      <vt:lpstr>AC 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Kar Wei Kwong</cp:lastModifiedBy>
  <dcterms:created xsi:type="dcterms:W3CDTF">2026-09-27T12:01:50Z</dcterms:created>
  <dcterms:modified xsi:type="dcterms:W3CDTF">2026-09-27T12:55:09Z</dcterms:modified>
</cp:coreProperties>
</file>